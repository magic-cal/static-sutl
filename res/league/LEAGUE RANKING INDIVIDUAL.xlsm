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llum\Documents\Projects\sutl\League Calc\"/>
    </mc:Choice>
  </mc:AlternateContent>
  <xr:revisionPtr revIDLastSave="0" documentId="8_{DF4776D9-977D-4CE9-A12C-51D087D8A190}" xr6:coauthVersionLast="45" xr6:coauthVersionMax="45" xr10:uidLastSave="{00000000-0000-0000-0000-000000000000}"/>
  <bookViews>
    <workbookView xWindow="-108" yWindow="-108" windowWidth="23256" windowHeight="12576" xr2:uid="{C6C6DF00-51E3-43AB-BBA9-8FCF16AE8FBA}"/>
  </bookViews>
  <sheets>
    <sheet name="SUTL Disability" sheetId="11" r:id="rId1"/>
    <sheet name="SUTL 7" sheetId="10" r:id="rId2"/>
    <sheet name="SUTL 6 " sheetId="1" r:id="rId3"/>
    <sheet name="SUTL 5" sheetId="2" r:id="rId4"/>
    <sheet name="SUTL 4" sheetId="3" r:id="rId5"/>
    <sheet name="SUTL 3" sheetId="4" r:id="rId6"/>
    <sheet name="SUTL 2" sheetId="5" r:id="rId7"/>
    <sheet name="SUTL 1 &amp; ELITE" sheetId="6" r:id="rId8"/>
    <sheet name="SS1" sheetId="7" r:id="rId9"/>
    <sheet name="SS2" sheetId="8" r:id="rId10"/>
    <sheet name="SS3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1" i="2" l="1"/>
  <c r="J77" i="2"/>
  <c r="J86" i="2"/>
  <c r="J71" i="2"/>
  <c r="J66" i="2"/>
  <c r="J76" i="2"/>
  <c r="J63" i="2"/>
  <c r="J64" i="2"/>
  <c r="J62" i="2"/>
  <c r="J68" i="2"/>
  <c r="J67" i="2"/>
  <c r="J152" i="10"/>
  <c r="J117" i="10"/>
  <c r="J71" i="10"/>
  <c r="J93" i="10"/>
  <c r="J74" i="10"/>
  <c r="J81" i="10"/>
  <c r="J5" i="11"/>
  <c r="A5" i="11" s="1"/>
  <c r="J7" i="11"/>
  <c r="A7" i="11" s="1"/>
  <c r="J4" i="11"/>
  <c r="J6" i="11"/>
  <c r="J3" i="11"/>
  <c r="A3" i="11" s="1"/>
  <c r="J76" i="1"/>
  <c r="J122" i="1"/>
  <c r="J90" i="1"/>
  <c r="J73" i="1"/>
  <c r="J119" i="1"/>
  <c r="J142" i="1"/>
  <c r="J143" i="1"/>
  <c r="J72" i="1"/>
  <c r="J84" i="1"/>
  <c r="J103" i="1"/>
  <c r="J144" i="1"/>
  <c r="J145" i="1"/>
  <c r="J146" i="1"/>
  <c r="J108" i="1"/>
  <c r="J111" i="1"/>
  <c r="J95" i="1"/>
  <c r="J147" i="1"/>
  <c r="J148" i="1"/>
  <c r="J149" i="1"/>
  <c r="J86" i="1"/>
  <c r="J27" i="1"/>
  <c r="J23" i="1"/>
  <c r="J19" i="1"/>
  <c r="J17" i="1"/>
  <c r="J16" i="1"/>
  <c r="J14" i="1"/>
  <c r="J22" i="2"/>
  <c r="J21" i="2"/>
  <c r="J14" i="2"/>
  <c r="J10" i="2"/>
  <c r="J13" i="2"/>
  <c r="J20" i="2"/>
  <c r="J51" i="2"/>
  <c r="J59" i="2"/>
  <c r="J91" i="2"/>
  <c r="J92" i="2"/>
  <c r="J78" i="2"/>
  <c r="J57" i="2"/>
  <c r="J94" i="2"/>
  <c r="J70" i="2"/>
  <c r="J74" i="2"/>
  <c r="J65" i="2"/>
  <c r="A6" i="11" l="1"/>
  <c r="A4" i="11"/>
  <c r="J64" i="3"/>
  <c r="J96" i="3"/>
  <c r="J95" i="3"/>
  <c r="J94" i="3"/>
  <c r="J93" i="3"/>
  <c r="J32" i="9"/>
  <c r="J102" i="9"/>
  <c r="J70" i="9"/>
  <c r="J103" i="9"/>
  <c r="J104" i="9"/>
  <c r="J48" i="9"/>
  <c r="J105" i="9"/>
  <c r="J76" i="9"/>
  <c r="J106" i="9"/>
  <c r="J43" i="9"/>
  <c r="J107" i="9"/>
  <c r="J71" i="9"/>
  <c r="J108" i="9"/>
  <c r="J59" i="9"/>
  <c r="J58" i="9"/>
  <c r="J109" i="9"/>
  <c r="J110" i="9"/>
  <c r="J49" i="9"/>
  <c r="J111" i="9"/>
  <c r="J79" i="9"/>
  <c r="J112" i="9"/>
  <c r="J18" i="8"/>
  <c r="J54" i="8"/>
  <c r="J19" i="8"/>
  <c r="J22" i="8"/>
  <c r="J21" i="8"/>
  <c r="J24" i="8"/>
  <c r="J25" i="8"/>
  <c r="J26" i="8"/>
  <c r="J55" i="8"/>
  <c r="J35" i="8"/>
  <c r="J34" i="8"/>
  <c r="J56" i="8"/>
  <c r="J57" i="8"/>
  <c r="J58" i="8"/>
  <c r="J49" i="7"/>
  <c r="J50" i="7"/>
  <c r="J12" i="7"/>
  <c r="J13" i="7"/>
  <c r="J26" i="7"/>
  <c r="J51" i="7"/>
  <c r="J52" i="7"/>
  <c r="J53" i="7"/>
  <c r="J54" i="7"/>
  <c r="J55" i="7"/>
  <c r="J56" i="7"/>
  <c r="J57" i="7"/>
  <c r="J58" i="7"/>
  <c r="J59" i="7"/>
  <c r="J60" i="7"/>
  <c r="J61" i="7"/>
  <c r="J62" i="7"/>
  <c r="J11" i="7"/>
  <c r="J9" i="1"/>
  <c r="J21" i="1"/>
  <c r="J15" i="1"/>
  <c r="J120" i="1"/>
  <c r="J124" i="1"/>
  <c r="J61" i="1"/>
  <c r="J107" i="1"/>
  <c r="J64" i="1"/>
  <c r="J52" i="1"/>
  <c r="J75" i="1"/>
  <c r="J96" i="1"/>
  <c r="J104" i="1"/>
  <c r="J117" i="1"/>
  <c r="J82" i="1"/>
  <c r="J136" i="1"/>
  <c r="J80" i="1"/>
  <c r="J140" i="1"/>
  <c r="J141" i="1"/>
  <c r="J136" i="10"/>
  <c r="J137" i="10"/>
  <c r="J66" i="10"/>
  <c r="J73" i="10"/>
  <c r="J104" i="10"/>
  <c r="J141" i="10"/>
  <c r="J126" i="10"/>
  <c r="J143" i="10"/>
  <c r="J113" i="10"/>
  <c r="J144" i="10"/>
  <c r="J146" i="10"/>
  <c r="J123" i="10"/>
  <c r="J119" i="10"/>
  <c r="J77" i="10"/>
  <c r="J80" i="10"/>
  <c r="J86" i="10"/>
  <c r="J91" i="10"/>
  <c r="J49" i="10"/>
  <c r="J125" i="10"/>
  <c r="J76" i="10"/>
  <c r="J72" i="10"/>
  <c r="J79" i="10"/>
  <c r="J132" i="10"/>
  <c r="J101" i="10"/>
  <c r="J102" i="10"/>
  <c r="J11" i="10"/>
  <c r="J13" i="10"/>
  <c r="J26" i="10"/>
  <c r="J10" i="10"/>
  <c r="J85" i="3"/>
  <c r="J53" i="3"/>
  <c r="J76" i="3"/>
  <c r="J77" i="3"/>
  <c r="J66" i="3"/>
  <c r="J80" i="3"/>
  <c r="J74" i="3"/>
  <c r="J89" i="3"/>
  <c r="J83" i="3"/>
  <c r="J67" i="3"/>
  <c r="J79" i="3"/>
  <c r="J61" i="3"/>
  <c r="J13" i="3"/>
  <c r="J16" i="3"/>
  <c r="J18" i="3"/>
  <c r="J19" i="3"/>
  <c r="J11" i="3"/>
  <c r="J57" i="4"/>
  <c r="J54" i="4"/>
  <c r="J53" i="4"/>
  <c r="J46" i="4"/>
  <c r="J65" i="4"/>
  <c r="J48" i="4"/>
  <c r="J55" i="4"/>
  <c r="J65" i="5"/>
  <c r="J64" i="5"/>
  <c r="J53" i="5"/>
  <c r="J46" i="5"/>
  <c r="J19" i="5"/>
  <c r="J29" i="6"/>
  <c r="J60" i="6"/>
  <c r="J44" i="6"/>
  <c r="J41" i="6"/>
  <c r="J43" i="4" l="1"/>
  <c r="J52" i="4"/>
  <c r="J63" i="4"/>
  <c r="J58" i="4"/>
  <c r="J59" i="4"/>
  <c r="J64" i="4"/>
  <c r="J47" i="4"/>
  <c r="J61" i="5"/>
  <c r="J45" i="5"/>
  <c r="J48" i="5"/>
  <c r="J27" i="9"/>
  <c r="J30" i="9"/>
  <c r="J33" i="9"/>
  <c r="J91" i="9"/>
  <c r="J42" i="9"/>
  <c r="J38" i="9"/>
  <c r="J13" i="9"/>
  <c r="J40" i="9"/>
  <c r="J14" i="9"/>
  <c r="J51" i="9"/>
  <c r="J54" i="9"/>
  <c r="J50" i="9"/>
  <c r="J55" i="9"/>
  <c r="J61" i="9"/>
  <c r="J34" i="9"/>
  <c r="J21" i="9"/>
  <c r="J57" i="9"/>
  <c r="J64" i="9"/>
  <c r="J66" i="9"/>
  <c r="J69" i="9"/>
  <c r="J68" i="9"/>
  <c r="J73" i="9"/>
  <c r="J93" i="9"/>
  <c r="J80" i="9"/>
  <c r="J81" i="9"/>
  <c r="J84" i="9"/>
  <c r="J85" i="9"/>
  <c r="J98" i="9"/>
  <c r="J90" i="9"/>
  <c r="J89" i="9"/>
  <c r="J88" i="9"/>
  <c r="J40" i="8"/>
  <c r="J28" i="8"/>
  <c r="J6" i="8"/>
  <c r="J10" i="8"/>
  <c r="J3" i="8"/>
  <c r="J41" i="8"/>
  <c r="J8" i="8"/>
  <c r="J42" i="8"/>
  <c r="J43" i="8"/>
  <c r="J29" i="8"/>
  <c r="J13" i="8"/>
  <c r="J37" i="8"/>
  <c r="J44" i="8"/>
  <c r="J45" i="8"/>
  <c r="J11" i="8"/>
  <c r="J46" i="8"/>
  <c r="J5" i="8"/>
  <c r="J39" i="8"/>
  <c r="J47" i="8"/>
  <c r="J2" i="8"/>
  <c r="J36" i="8"/>
  <c r="J9" i="8"/>
  <c r="J31" i="8"/>
  <c r="J38" i="8"/>
  <c r="J48" i="8"/>
  <c r="J49" i="8"/>
  <c r="J33" i="8"/>
  <c r="J50" i="8"/>
  <c r="J20" i="8"/>
  <c r="J15" i="8"/>
  <c r="J27" i="8"/>
  <c r="J7" i="8"/>
  <c r="J16" i="8"/>
  <c r="J30" i="8"/>
  <c r="J51" i="8"/>
  <c r="J14" i="8"/>
  <c r="J23" i="8"/>
  <c r="J52" i="8"/>
  <c r="J32" i="8"/>
  <c r="J53" i="8"/>
  <c r="J4" i="8"/>
  <c r="J17" i="8"/>
  <c r="J19" i="7"/>
  <c r="J30" i="7"/>
  <c r="J31" i="7"/>
  <c r="J7" i="7"/>
  <c r="J32" i="7"/>
  <c r="J18" i="7"/>
  <c r="J16" i="7"/>
  <c r="J33" i="7"/>
  <c r="J9" i="7"/>
  <c r="J27" i="7"/>
  <c r="J17" i="7"/>
  <c r="J24" i="7"/>
  <c r="J25" i="7"/>
  <c r="J14" i="7"/>
  <c r="J2" i="7"/>
  <c r="J34" i="7"/>
  <c r="J35" i="7"/>
  <c r="J15" i="7"/>
  <c r="J36" i="7"/>
  <c r="J22" i="7"/>
  <c r="J10" i="7"/>
  <c r="J37" i="7"/>
  <c r="J38" i="7"/>
  <c r="J39" i="7"/>
  <c r="J40" i="7"/>
  <c r="J6" i="7"/>
  <c r="J41" i="7"/>
  <c r="J23" i="7"/>
  <c r="J28" i="7"/>
  <c r="J42" i="7"/>
  <c r="J43" i="7"/>
  <c r="J44" i="7"/>
  <c r="J5" i="7"/>
  <c r="J45" i="7"/>
  <c r="J20" i="7"/>
  <c r="J3" i="7"/>
  <c r="J8" i="7"/>
  <c r="J46" i="7"/>
  <c r="J21" i="7"/>
  <c r="J4" i="7"/>
  <c r="J47" i="7"/>
  <c r="J48" i="7"/>
  <c r="J22" i="10" l="1"/>
  <c r="J25" i="10"/>
  <c r="J15" i="10"/>
  <c r="J8" i="10"/>
  <c r="J11" i="5"/>
  <c r="J14" i="4"/>
  <c r="J15" i="4"/>
  <c r="J5" i="4"/>
  <c r="J12" i="4"/>
  <c r="J6" i="4"/>
  <c r="J8" i="4"/>
  <c r="J11" i="4"/>
  <c r="J16" i="4"/>
  <c r="J10" i="4"/>
  <c r="J7" i="4"/>
  <c r="J13" i="4"/>
  <c r="J9" i="4"/>
  <c r="J4" i="4"/>
  <c r="J20" i="3"/>
  <c r="J10" i="3"/>
  <c r="J9" i="3"/>
  <c r="J40" i="6"/>
  <c r="J43" i="6"/>
  <c r="J38" i="6"/>
  <c r="J12" i="6"/>
  <c r="J22" i="9" l="1"/>
  <c r="J4" i="9"/>
  <c r="J37" i="9"/>
  <c r="J2" i="9"/>
  <c r="J20" i="9"/>
  <c r="J45" i="9"/>
  <c r="J5" i="9"/>
  <c r="J3" i="9"/>
  <c r="J10" i="9"/>
  <c r="J7" i="9"/>
  <c r="J17" i="9"/>
  <c r="J47" i="9"/>
  <c r="J25" i="9"/>
  <c r="J44" i="9"/>
  <c r="J83" i="9"/>
  <c r="J87" i="9"/>
  <c r="J74" i="9"/>
  <c r="J36" i="9"/>
  <c r="J94" i="9"/>
  <c r="J95" i="9"/>
  <c r="J23" i="9"/>
  <c r="J53" i="9"/>
  <c r="J60" i="9"/>
  <c r="J39" i="9"/>
  <c r="J41" i="9"/>
  <c r="J97" i="9"/>
  <c r="J24" i="9"/>
  <c r="J78" i="9"/>
  <c r="J6" i="9"/>
  <c r="J35" i="9"/>
  <c r="J101" i="9"/>
  <c r="J67" i="9"/>
  <c r="J72" i="9"/>
  <c r="J8" i="9"/>
  <c r="J11" i="9"/>
  <c r="J86" i="9"/>
  <c r="J9" i="9"/>
  <c r="J12" i="9"/>
  <c r="J63" i="9"/>
  <c r="J29" i="9"/>
  <c r="J92" i="9"/>
  <c r="J52" i="9"/>
  <c r="J65" i="9"/>
  <c r="J82" i="9"/>
  <c r="J16" i="9"/>
  <c r="J19" i="9"/>
  <c r="J56" i="9"/>
  <c r="J15" i="9"/>
  <c r="J26" i="9"/>
  <c r="J77" i="9"/>
  <c r="J31" i="9"/>
  <c r="J96" i="9"/>
  <c r="J75" i="9"/>
  <c r="J46" i="9"/>
  <c r="J62" i="9"/>
  <c r="J18" i="9"/>
  <c r="J99" i="9"/>
  <c r="J100" i="9"/>
  <c r="J28" i="9"/>
  <c r="J12" i="8"/>
  <c r="J29" i="7"/>
  <c r="J92" i="10"/>
  <c r="J75" i="10"/>
  <c r="J133" i="10"/>
  <c r="J78" i="10"/>
  <c r="J122" i="10"/>
  <c r="J134" i="10"/>
  <c r="J56" i="10"/>
  <c r="J135" i="10"/>
  <c r="J87" i="10"/>
  <c r="J140" i="10"/>
  <c r="J59" i="10"/>
  <c r="J70" i="10"/>
  <c r="J128" i="10"/>
  <c r="J142" i="10"/>
  <c r="J94" i="10"/>
  <c r="J96" i="10"/>
  <c r="J82" i="10"/>
  <c r="J127" i="10"/>
  <c r="J50" i="10"/>
  <c r="J43" i="10"/>
  <c r="J111" i="10"/>
  <c r="J147" i="10"/>
  <c r="J115" i="10"/>
  <c r="J88" i="10"/>
  <c r="J68" i="10"/>
  <c r="J48" i="10"/>
  <c r="J90" i="10"/>
  <c r="J83" i="10"/>
  <c r="J103" i="10"/>
  <c r="J129" i="10"/>
  <c r="J148" i="10"/>
  <c r="J150" i="10"/>
  <c r="J151" i="10"/>
  <c r="J116" i="10"/>
  <c r="J110" i="10"/>
  <c r="J118" i="10"/>
  <c r="J45" i="10"/>
  <c r="J131" i="10"/>
  <c r="J4" i="10"/>
  <c r="J16" i="10"/>
  <c r="J20" i="10"/>
  <c r="J17" i="10"/>
  <c r="J23" i="10"/>
  <c r="J9" i="10"/>
  <c r="J36" i="1"/>
  <c r="J115" i="1"/>
  <c r="J83" i="1"/>
  <c r="J89" i="1"/>
  <c r="J125" i="1"/>
  <c r="J116" i="1"/>
  <c r="J127" i="1"/>
  <c r="J74" i="1"/>
  <c r="J68" i="1"/>
  <c r="J91" i="1"/>
  <c r="J129" i="1"/>
  <c r="J130" i="1"/>
  <c r="J53" i="1"/>
  <c r="J109" i="1"/>
  <c r="J133" i="1"/>
  <c r="J134" i="1"/>
  <c r="J54" i="1"/>
  <c r="J138" i="1"/>
  <c r="J58" i="1"/>
  <c r="J139" i="1"/>
  <c r="J49" i="1"/>
  <c r="J105" i="1"/>
  <c r="J60" i="1"/>
  <c r="J63" i="1"/>
  <c r="J10" i="1"/>
  <c r="J20" i="1"/>
  <c r="J8" i="1"/>
  <c r="J12" i="1"/>
  <c r="J33" i="2"/>
  <c r="J41" i="2"/>
  <c r="J82" i="2"/>
  <c r="J50" i="2"/>
  <c r="J42" i="2"/>
  <c r="J54" i="2"/>
  <c r="J83" i="2"/>
  <c r="J45" i="2"/>
  <c r="J46" i="2"/>
  <c r="J79" i="2"/>
  <c r="J43" i="2"/>
  <c r="J52" i="2"/>
  <c r="A72" i="9" l="1"/>
  <c r="A89" i="9"/>
  <c r="A9" i="9"/>
  <c r="A37" i="9"/>
  <c r="A20" i="9"/>
  <c r="A5" i="9"/>
  <c r="A92" i="9"/>
  <c r="A61" i="9"/>
  <c r="A47" i="9"/>
  <c r="A44" i="9"/>
  <c r="A73" i="9"/>
  <c r="A74" i="9"/>
  <c r="A68" i="9"/>
  <c r="A13" i="9"/>
  <c r="A42" i="9"/>
  <c r="A66" i="9"/>
  <c r="A51" i="9"/>
  <c r="A75" i="9"/>
  <c r="A97" i="9"/>
  <c r="A35" i="9"/>
  <c r="A106" i="9"/>
  <c r="A88" i="9"/>
  <c r="A54" i="9"/>
  <c r="A12" i="9"/>
  <c r="A63" i="9"/>
  <c r="A45" i="9"/>
  <c r="A3" i="9"/>
  <c r="A52" i="9"/>
  <c r="A17" i="9"/>
  <c r="A16" i="9"/>
  <c r="A19" i="9"/>
  <c r="A64" i="9"/>
  <c r="A36" i="9"/>
  <c r="A95" i="9"/>
  <c r="A53" i="9"/>
  <c r="A60" i="9"/>
  <c r="A30" i="9"/>
  <c r="A31" i="9"/>
  <c r="A21" i="9"/>
  <c r="A84" i="9"/>
  <c r="A24" i="9"/>
  <c r="A6" i="9"/>
  <c r="A99" i="9"/>
  <c r="A102" i="9"/>
  <c r="A48" i="9"/>
  <c r="A43" i="9"/>
  <c r="A32" i="9"/>
  <c r="A8" i="9"/>
  <c r="A11" i="9"/>
  <c r="A4" i="9"/>
  <c r="A69" i="9"/>
  <c r="A33" i="9"/>
  <c r="A10" i="9"/>
  <c r="A65" i="9"/>
  <c r="A55" i="9"/>
  <c r="A25" i="9"/>
  <c r="A83" i="9"/>
  <c r="A87" i="9"/>
  <c r="A38" i="9"/>
  <c r="A27" i="9"/>
  <c r="A15" i="9"/>
  <c r="A26" i="9"/>
  <c r="A28" i="9"/>
  <c r="A96" i="9"/>
  <c r="A80" i="9"/>
  <c r="A50" i="9"/>
  <c r="A98" i="9"/>
  <c r="A40" i="9"/>
  <c r="A100" i="9"/>
  <c r="A70" i="9"/>
  <c r="A105" i="9"/>
  <c r="A107" i="9"/>
  <c r="A58" i="9"/>
  <c r="A111" i="9"/>
  <c r="A81" i="9"/>
  <c r="A34" i="9"/>
  <c r="A67" i="9"/>
  <c r="A108" i="9"/>
  <c r="A112" i="9"/>
  <c r="A49" i="9"/>
  <c r="A22" i="9"/>
  <c r="A86" i="9"/>
  <c r="A90" i="9"/>
  <c r="A2" i="9"/>
  <c r="A91" i="9"/>
  <c r="A29" i="9"/>
  <c r="A7" i="9"/>
  <c r="A82" i="9"/>
  <c r="A93" i="9"/>
  <c r="A56" i="9"/>
  <c r="A14" i="9"/>
  <c r="A94" i="9"/>
  <c r="A23" i="9"/>
  <c r="A57" i="9"/>
  <c r="A85" i="9"/>
  <c r="A77" i="9"/>
  <c r="A39" i="9"/>
  <c r="A41" i="9"/>
  <c r="A46" i="9"/>
  <c r="A78" i="9"/>
  <c r="A18" i="9"/>
  <c r="A101" i="9"/>
  <c r="A103" i="9"/>
  <c r="A76" i="9"/>
  <c r="A71" i="9"/>
  <c r="A109" i="9"/>
  <c r="A79" i="9"/>
  <c r="A62" i="9"/>
  <c r="A104" i="9"/>
  <c r="A110" i="9"/>
  <c r="A59" i="9"/>
  <c r="A12" i="8"/>
  <c r="A25" i="8"/>
  <c r="A53" i="8"/>
  <c r="A2" i="8"/>
  <c r="A35" i="8"/>
  <c r="A10" i="8"/>
  <c r="A48" i="8"/>
  <c r="A32" i="8"/>
  <c r="A31" i="8"/>
  <c r="A8" i="8"/>
  <c r="A22" i="8"/>
  <c r="A3" i="8"/>
  <c r="A30" i="8"/>
  <c r="A39" i="8"/>
  <c r="A28" i="8"/>
  <c r="A18" i="8"/>
  <c r="A49" i="8"/>
  <c r="A43" i="8"/>
  <c r="A54" i="8"/>
  <c r="A55" i="8"/>
  <c r="A13" i="8"/>
  <c r="A52" i="8"/>
  <c r="A41" i="8"/>
  <c r="A16" i="8"/>
  <c r="A7" i="8"/>
  <c r="A24" i="8"/>
  <c r="A46" i="8"/>
  <c r="A57" i="8"/>
  <c r="A44" i="8"/>
  <c r="A51" i="8"/>
  <c r="A47" i="8"/>
  <c r="A6" i="8"/>
  <c r="A4" i="8"/>
  <c r="A14" i="8"/>
  <c r="A15" i="8"/>
  <c r="A45" i="8"/>
  <c r="A21" i="8"/>
  <c r="A17" i="8"/>
  <c r="A29" i="8"/>
  <c r="A38" i="8"/>
  <c r="A42" i="8"/>
  <c r="A33" i="8"/>
  <c r="A56" i="8"/>
  <c r="A9" i="8"/>
  <c r="A26" i="8"/>
  <c r="A36" i="8"/>
  <c r="A50" i="8"/>
  <c r="A58" i="8"/>
  <c r="A37" i="8"/>
  <c r="A34" i="8"/>
  <c r="A40" i="8"/>
  <c r="A27" i="8"/>
  <c r="A11" i="8"/>
  <c r="A20" i="8"/>
  <c r="A19" i="8"/>
  <c r="A23" i="8"/>
  <c r="A5" i="8"/>
  <c r="A29" i="7"/>
  <c r="A3" i="7"/>
  <c r="A52" i="7"/>
  <c r="A20" i="7"/>
  <c r="A36" i="7"/>
  <c r="A58" i="7"/>
  <c r="A16" i="7"/>
  <c r="A55" i="7"/>
  <c r="A24" i="7"/>
  <c r="A45" i="7"/>
  <c r="A15" i="7"/>
  <c r="A30" i="7"/>
  <c r="A44" i="7"/>
  <c r="A28" i="7"/>
  <c r="A25" i="7"/>
  <c r="A12" i="7"/>
  <c r="A21" i="7"/>
  <c r="A57" i="7"/>
  <c r="A37" i="7"/>
  <c r="A18" i="7"/>
  <c r="A35" i="7"/>
  <c r="A39" i="7"/>
  <c r="A53" i="7"/>
  <c r="A43" i="7"/>
  <c r="A54" i="7"/>
  <c r="A26" i="7"/>
  <c r="A31" i="7"/>
  <c r="A4" i="7"/>
  <c r="A33" i="7"/>
  <c r="A42" i="7"/>
  <c r="A14" i="7"/>
  <c r="A60" i="7"/>
  <c r="A47" i="7"/>
  <c r="A40" i="7"/>
  <c r="A9" i="7"/>
  <c r="A13" i="7"/>
  <c r="A38" i="7"/>
  <c r="A17" i="7"/>
  <c r="A46" i="7"/>
  <c r="A59" i="7"/>
  <c r="A19" i="7"/>
  <c r="A34" i="7"/>
  <c r="A51" i="7"/>
  <c r="A41" i="7"/>
  <c r="A2" i="7"/>
  <c r="A62" i="7"/>
  <c r="A56" i="7"/>
  <c r="A23" i="7"/>
  <c r="A48" i="7"/>
  <c r="A6" i="7"/>
  <c r="A27" i="7"/>
  <c r="A61" i="7"/>
  <c r="A8" i="7"/>
  <c r="A10" i="7"/>
  <c r="A32" i="7"/>
  <c r="A50" i="7"/>
  <c r="A7" i="7"/>
  <c r="A49" i="7"/>
  <c r="A22" i="7"/>
  <c r="A5" i="7"/>
  <c r="A11" i="7"/>
  <c r="J69" i="3"/>
  <c r="J86" i="3"/>
  <c r="J54" i="3"/>
  <c r="J42" i="3"/>
  <c r="J68" i="3"/>
  <c r="J59" i="3"/>
  <c r="J81" i="3"/>
  <c r="J63" i="3"/>
  <c r="J91" i="3"/>
  <c r="J65" i="3"/>
  <c r="J72" i="3"/>
  <c r="J92" i="3"/>
  <c r="J45" i="3"/>
  <c r="J30" i="3"/>
  <c r="J14" i="3"/>
  <c r="J4" i="3"/>
  <c r="J40" i="4"/>
  <c r="J60" i="4"/>
  <c r="J34" i="4"/>
  <c r="J62" i="4"/>
  <c r="J24" i="4"/>
  <c r="J27" i="5"/>
  <c r="J40" i="5"/>
  <c r="J56" i="5"/>
  <c r="J39" i="5"/>
  <c r="J47" i="5"/>
  <c r="J13" i="5"/>
  <c r="J14" i="5"/>
  <c r="J18" i="5"/>
  <c r="J59" i="6"/>
  <c r="J56" i="6"/>
  <c r="J53" i="6"/>
  <c r="J52" i="6"/>
  <c r="J36" i="6"/>
  <c r="J37" i="6"/>
  <c r="J26" i="6"/>
  <c r="J19" i="6"/>
  <c r="J44" i="5" l="1"/>
  <c r="J43" i="5"/>
  <c r="J38" i="5"/>
  <c r="J28" i="5"/>
  <c r="J41" i="5"/>
  <c r="J49" i="5"/>
  <c r="J33" i="5"/>
  <c r="J51" i="5"/>
  <c r="J52" i="5"/>
  <c r="J29" i="5"/>
  <c r="J54" i="5"/>
  <c r="J55" i="5"/>
  <c r="J30" i="5"/>
  <c r="J32" i="5"/>
  <c r="J34" i="5"/>
  <c r="J35" i="5"/>
  <c r="J42" i="5"/>
  <c r="J37" i="5"/>
  <c r="J36" i="5"/>
  <c r="J63" i="5"/>
  <c r="J31" i="5"/>
  <c r="J50" i="5"/>
  <c r="J60" i="5"/>
  <c r="J62" i="5"/>
  <c r="J57" i="5"/>
  <c r="J59" i="5"/>
  <c r="J10" i="5"/>
  <c r="J16" i="5"/>
  <c r="J5" i="5"/>
  <c r="J12" i="5"/>
  <c r="J6" i="5"/>
  <c r="J8" i="5"/>
  <c r="J7" i="5"/>
  <c r="J17" i="5"/>
  <c r="J3" i="5"/>
  <c r="J15" i="5"/>
  <c r="J4" i="5"/>
  <c r="J9" i="5"/>
  <c r="J58" i="5"/>
  <c r="J42" i="4"/>
  <c r="J31" i="4"/>
  <c r="J23" i="4"/>
  <c r="J38" i="4"/>
  <c r="J44" i="4"/>
  <c r="J26" i="4"/>
  <c r="J32" i="4"/>
  <c r="J61" i="4"/>
  <c r="J35" i="4"/>
  <c r="J45" i="4"/>
  <c r="J28" i="4"/>
  <c r="J27" i="4"/>
  <c r="J37" i="4"/>
  <c r="J33" i="4"/>
  <c r="J29" i="4"/>
  <c r="J50" i="4"/>
  <c r="J51" i="4"/>
  <c r="J36" i="4"/>
  <c r="J39" i="4"/>
  <c r="J25" i="4"/>
  <c r="J41" i="4"/>
  <c r="J56" i="4"/>
  <c r="J49" i="4"/>
  <c r="J30" i="4"/>
  <c r="J3" i="4"/>
  <c r="J21" i="3"/>
  <c r="J3" i="3"/>
  <c r="J15" i="3"/>
  <c r="J6" i="3"/>
  <c r="J7" i="3"/>
  <c r="J8" i="3"/>
  <c r="J17" i="3"/>
  <c r="J5" i="3"/>
  <c r="J22" i="3"/>
  <c r="J23" i="3"/>
  <c r="J24" i="3"/>
  <c r="J84" i="3"/>
  <c r="J31" i="3"/>
  <c r="J32" i="3"/>
  <c r="J51" i="3"/>
  <c r="J52" i="3"/>
  <c r="J36" i="3"/>
  <c r="J35" i="3"/>
  <c r="J70" i="3"/>
  <c r="J71" i="3"/>
  <c r="J41" i="3"/>
  <c r="J34" i="3"/>
  <c r="J38" i="3"/>
  <c r="J44" i="3"/>
  <c r="J50" i="3"/>
  <c r="J43" i="3"/>
  <c r="J40" i="3"/>
  <c r="J39" i="3"/>
  <c r="J58" i="3"/>
  <c r="J37" i="3"/>
  <c r="J87" i="3"/>
  <c r="J75" i="3"/>
  <c r="J46" i="3"/>
  <c r="J33" i="3"/>
  <c r="J56" i="3"/>
  <c r="J47" i="3"/>
  <c r="J49" i="3"/>
  <c r="J48" i="3"/>
  <c r="J78" i="3"/>
  <c r="J55" i="3"/>
  <c r="J82" i="3"/>
  <c r="J60" i="3"/>
  <c r="J73" i="3"/>
  <c r="J90" i="3"/>
  <c r="J88" i="3"/>
  <c r="J57" i="3"/>
  <c r="J62" i="3"/>
  <c r="J12" i="3"/>
  <c r="J87" i="2"/>
  <c r="J81" i="2"/>
  <c r="J88" i="2"/>
  <c r="J75" i="2"/>
  <c r="J47" i="2"/>
  <c r="J84" i="2"/>
  <c r="J89" i="2"/>
  <c r="J48" i="2"/>
  <c r="J37" i="2"/>
  <c r="J90" i="2"/>
  <c r="J36" i="2"/>
  <c r="J40" i="2"/>
  <c r="J85" i="2"/>
  <c r="J58" i="2"/>
  <c r="J34" i="2"/>
  <c r="J38" i="2"/>
  <c r="J53" i="2"/>
  <c r="J93" i="2"/>
  <c r="J95" i="2"/>
  <c r="J39" i="2"/>
  <c r="J35" i="2"/>
  <c r="J80" i="2"/>
  <c r="J44" i="2"/>
  <c r="J96" i="2"/>
  <c r="J49" i="2"/>
  <c r="J55" i="2"/>
  <c r="J72" i="2"/>
  <c r="J97" i="2"/>
  <c r="J31" i="2"/>
  <c r="J73" i="2"/>
  <c r="J32" i="2"/>
  <c r="J30" i="2"/>
  <c r="J69" i="2"/>
  <c r="J60" i="2"/>
  <c r="J98" i="2"/>
  <c r="J56" i="2"/>
  <c r="A56" i="2" s="1"/>
  <c r="J12" i="2"/>
  <c r="J11" i="2"/>
  <c r="J6" i="2"/>
  <c r="J7" i="2"/>
  <c r="J9" i="2"/>
  <c r="J4" i="2"/>
  <c r="J19" i="2"/>
  <c r="J15" i="2"/>
  <c r="J16" i="2"/>
  <c r="J17" i="2"/>
  <c r="J18" i="2"/>
  <c r="J5" i="2"/>
  <c r="J8" i="2"/>
  <c r="J3" i="2"/>
  <c r="J77" i="1"/>
  <c r="J78" i="1"/>
  <c r="J50" i="1"/>
  <c r="J81" i="1"/>
  <c r="J33" i="1"/>
  <c r="J62" i="1"/>
  <c r="J34" i="1"/>
  <c r="J55" i="1"/>
  <c r="J85" i="1"/>
  <c r="J35" i="1"/>
  <c r="J32" i="1"/>
  <c r="J87" i="1"/>
  <c r="J57" i="1"/>
  <c r="J51" i="1"/>
  <c r="J56" i="1"/>
  <c r="J92" i="1"/>
  <c r="J59" i="1"/>
  <c r="J93" i="1"/>
  <c r="J38" i="1"/>
  <c r="J94" i="1"/>
  <c r="J37" i="1"/>
  <c r="J40" i="1"/>
  <c r="J97" i="1"/>
  <c r="J98" i="1"/>
  <c r="J39" i="1"/>
  <c r="J99" i="1"/>
  <c r="J100" i="1"/>
  <c r="J67" i="1"/>
  <c r="J101" i="1"/>
  <c r="J66" i="1"/>
  <c r="J69" i="1"/>
  <c r="J42" i="1"/>
  <c r="J65" i="1"/>
  <c r="J102" i="1"/>
  <c r="J43" i="1"/>
  <c r="J106" i="1"/>
  <c r="J46" i="1"/>
  <c r="J41" i="1"/>
  <c r="J110" i="1"/>
  <c r="J112" i="1"/>
  <c r="J113" i="1"/>
  <c r="J114" i="1"/>
  <c r="A114" i="1" s="1"/>
  <c r="J44" i="1"/>
  <c r="J48" i="1"/>
  <c r="J45" i="1"/>
  <c r="J70" i="1"/>
  <c r="J118" i="1"/>
  <c r="J121" i="1"/>
  <c r="J47" i="1"/>
  <c r="J131" i="1"/>
  <c r="J123" i="1"/>
  <c r="J79" i="1"/>
  <c r="J128" i="1"/>
  <c r="J135" i="1"/>
  <c r="J126" i="1"/>
  <c r="J137" i="1"/>
  <c r="J132" i="1"/>
  <c r="J88" i="1"/>
  <c r="J13" i="1"/>
  <c r="J5" i="1"/>
  <c r="J18" i="1"/>
  <c r="J3" i="1"/>
  <c r="J7" i="1"/>
  <c r="J6" i="1"/>
  <c r="J11" i="1"/>
  <c r="J22" i="1"/>
  <c r="J24" i="1"/>
  <c r="J25" i="1"/>
  <c r="J26" i="1"/>
  <c r="J71" i="1"/>
  <c r="J4" i="1"/>
  <c r="J46" i="10"/>
  <c r="J47" i="10"/>
  <c r="J40" i="10"/>
  <c r="J84" i="10"/>
  <c r="J33" i="10"/>
  <c r="J85" i="10"/>
  <c r="J60" i="10"/>
  <c r="J34" i="10"/>
  <c r="J35" i="10"/>
  <c r="J38" i="10"/>
  <c r="J69" i="10"/>
  <c r="J53" i="10"/>
  <c r="J36" i="10"/>
  <c r="J39" i="10"/>
  <c r="J54" i="10"/>
  <c r="J62" i="10"/>
  <c r="J55" i="10"/>
  <c r="J145" i="10"/>
  <c r="J97" i="10"/>
  <c r="J52" i="10"/>
  <c r="J65" i="10"/>
  <c r="J99" i="10"/>
  <c r="J98" i="10"/>
  <c r="J100" i="10"/>
  <c r="J37" i="10"/>
  <c r="J95" i="10"/>
  <c r="J51" i="10"/>
  <c r="J42" i="10"/>
  <c r="J105" i="10"/>
  <c r="J107" i="10"/>
  <c r="J106" i="10"/>
  <c r="J57" i="10"/>
  <c r="J108" i="10"/>
  <c r="J138" i="10"/>
  <c r="J109" i="10"/>
  <c r="J112" i="10"/>
  <c r="J41" i="10"/>
  <c r="J61" i="10"/>
  <c r="J58" i="10"/>
  <c r="J114" i="10"/>
  <c r="J67" i="10"/>
  <c r="J64" i="10"/>
  <c r="J120" i="10"/>
  <c r="J121" i="10"/>
  <c r="J124" i="10"/>
  <c r="J63" i="10"/>
  <c r="J149" i="10"/>
  <c r="J139" i="10"/>
  <c r="J89" i="10"/>
  <c r="J130" i="10"/>
  <c r="J44" i="10"/>
  <c r="A44" i="10" s="1"/>
  <c r="J12" i="10"/>
  <c r="J3" i="10"/>
  <c r="J6" i="10"/>
  <c r="J14" i="10"/>
  <c r="J18" i="10"/>
  <c r="J19" i="10"/>
  <c r="J7" i="10"/>
  <c r="J21" i="10"/>
  <c r="A21" i="10" s="1"/>
  <c r="J24" i="10"/>
  <c r="J5" i="10"/>
  <c r="A5" i="2" l="1"/>
  <c r="A4" i="1"/>
  <c r="A79" i="3"/>
  <c r="A88" i="3"/>
  <c r="A30" i="2"/>
  <c r="A96" i="2"/>
  <c r="A38" i="2"/>
  <c r="A60" i="2"/>
  <c r="A55" i="2"/>
  <c r="A80" i="2"/>
  <c r="A93" i="2"/>
  <c r="A58" i="2"/>
  <c r="A90" i="2"/>
  <c r="A84" i="2"/>
  <c r="A81" i="2"/>
  <c r="A97" i="2"/>
  <c r="A39" i="2"/>
  <c r="A40" i="2"/>
  <c r="A48" i="2"/>
  <c r="A75" i="2"/>
  <c r="A98" i="2"/>
  <c r="A32" i="2"/>
  <c r="A72" i="2"/>
  <c r="A44" i="2"/>
  <c r="A95" i="2"/>
  <c r="A34" i="2"/>
  <c r="A36" i="2"/>
  <c r="A89" i="2"/>
  <c r="A88" i="2"/>
  <c r="A73" i="2"/>
  <c r="A69" i="2"/>
  <c r="A31" i="2"/>
  <c r="A49" i="2"/>
  <c r="A35" i="2"/>
  <c r="A53" i="2"/>
  <c r="A85" i="2"/>
  <c r="A37" i="2"/>
  <c r="A47" i="2"/>
  <c r="A64" i="2"/>
  <c r="A61" i="2"/>
  <c r="A66" i="2"/>
  <c r="A62" i="2"/>
  <c r="A87" i="2"/>
  <c r="A71" i="2"/>
  <c r="A57" i="2"/>
  <c r="A92" i="2"/>
  <c r="A59" i="2"/>
  <c r="A91" i="2"/>
  <c r="A70" i="2"/>
  <c r="A68" i="2"/>
  <c r="A78" i="2"/>
  <c r="A76" i="2"/>
  <c r="A51" i="2"/>
  <c r="A77" i="2"/>
  <c r="A67" i="2"/>
  <c r="A65" i="2"/>
  <c r="A63" i="2"/>
  <c r="A74" i="2"/>
  <c r="A86" i="2"/>
  <c r="A94" i="2"/>
  <c r="A43" i="2"/>
  <c r="A42" i="2"/>
  <c r="A54" i="2"/>
  <c r="A83" i="2"/>
  <c r="A46" i="2"/>
  <c r="A79" i="2"/>
  <c r="A50" i="2"/>
  <c r="A82" i="2"/>
  <c r="A33" i="2"/>
  <c r="A52" i="2"/>
  <c r="A41" i="2"/>
  <c r="A45" i="2"/>
  <c r="A120" i="10"/>
  <c r="A109" i="10"/>
  <c r="A51" i="10"/>
  <c r="A97" i="10"/>
  <c r="A69" i="10"/>
  <c r="A60" i="10"/>
  <c r="A130" i="10"/>
  <c r="A64" i="10"/>
  <c r="A138" i="10"/>
  <c r="A95" i="10"/>
  <c r="A145" i="10"/>
  <c r="A38" i="10"/>
  <c r="A47" i="10"/>
  <c r="A124" i="10"/>
  <c r="A67" i="10"/>
  <c r="A41" i="10"/>
  <c r="A108" i="10"/>
  <c r="A105" i="10"/>
  <c r="A37" i="10"/>
  <c r="A65" i="10"/>
  <c r="A55" i="10"/>
  <c r="A36" i="10"/>
  <c r="A35" i="10"/>
  <c r="A93" i="10"/>
  <c r="A117" i="10"/>
  <c r="A113" i="10"/>
  <c r="A136" i="10"/>
  <c r="A33" i="10"/>
  <c r="A71" i="10"/>
  <c r="A81" i="10"/>
  <c r="A152" i="10"/>
  <c r="A72" i="10"/>
  <c r="A74" i="10"/>
  <c r="A126" i="10"/>
  <c r="A101" i="10"/>
  <c r="A66" i="10"/>
  <c r="A143" i="10"/>
  <c r="A144" i="10"/>
  <c r="A104" i="10"/>
  <c r="A146" i="10"/>
  <c r="A76" i="10"/>
  <c r="A119" i="10"/>
  <c r="A123" i="10"/>
  <c r="A77" i="10"/>
  <c r="A132" i="10"/>
  <c r="A102" i="10"/>
  <c r="A79" i="10"/>
  <c r="A73" i="10"/>
  <c r="A137" i="10"/>
  <c r="A80" i="10"/>
  <c r="A91" i="10"/>
  <c r="A86" i="10"/>
  <c r="A125" i="10"/>
  <c r="A49" i="10"/>
  <c r="A141" i="10"/>
  <c r="A148" i="10"/>
  <c r="A133" i="10"/>
  <c r="A140" i="10"/>
  <c r="A103" i="10"/>
  <c r="A128" i="10"/>
  <c r="A110" i="10"/>
  <c r="A131" i="10"/>
  <c r="A134" i="10"/>
  <c r="A88" i="10"/>
  <c r="A135" i="10"/>
  <c r="A48" i="10"/>
  <c r="A94" i="10"/>
  <c r="A96" i="10"/>
  <c r="A127" i="10"/>
  <c r="A82" i="10"/>
  <c r="A56" i="10"/>
  <c r="A83" i="10"/>
  <c r="A90" i="10"/>
  <c r="A116" i="10"/>
  <c r="A75" i="10"/>
  <c r="A68" i="10"/>
  <c r="A87" i="10"/>
  <c r="A115" i="10"/>
  <c r="A129" i="10"/>
  <c r="A118" i="10"/>
  <c r="A43" i="10"/>
  <c r="A78" i="10"/>
  <c r="A50" i="10"/>
  <c r="A45" i="10"/>
  <c r="A111" i="10"/>
  <c r="A122" i="10"/>
  <c r="A147" i="10"/>
  <c r="A150" i="10"/>
  <c r="A59" i="10"/>
  <c r="A151" i="10"/>
  <c r="A92" i="10"/>
  <c r="A142" i="10"/>
  <c r="A70" i="10"/>
  <c r="A46" i="10"/>
  <c r="A149" i="10"/>
  <c r="A58" i="10"/>
  <c r="A106" i="10"/>
  <c r="A98" i="10"/>
  <c r="A54" i="10"/>
  <c r="A40" i="10"/>
  <c r="A63" i="10"/>
  <c r="A61" i="10"/>
  <c r="A107" i="10"/>
  <c r="A99" i="10"/>
  <c r="A39" i="10"/>
  <c r="A85" i="10"/>
  <c r="A89" i="10"/>
  <c r="A139" i="10"/>
  <c r="A121" i="10"/>
  <c r="A114" i="10"/>
  <c r="A112" i="10"/>
  <c r="A57" i="10"/>
  <c r="A42" i="10"/>
  <c r="A100" i="10"/>
  <c r="A52" i="10"/>
  <c r="A62" i="10"/>
  <c r="A53" i="10"/>
  <c r="A34" i="10"/>
  <c r="A84" i="10"/>
  <c r="A102" i="1"/>
  <c r="A40" i="1"/>
  <c r="A51" i="1"/>
  <c r="A62" i="1"/>
  <c r="A47" i="1"/>
  <c r="A46" i="1"/>
  <c r="A39" i="1"/>
  <c r="A57" i="1"/>
  <c r="A42" i="1"/>
  <c r="A67" i="1"/>
  <c r="A98" i="1"/>
  <c r="A94" i="1"/>
  <c r="A92" i="1"/>
  <c r="A87" i="1"/>
  <c r="A55" i="1"/>
  <c r="A81" i="1"/>
  <c r="A71" i="1"/>
  <c r="A88" i="1"/>
  <c r="A135" i="1"/>
  <c r="A131" i="1"/>
  <c r="A70" i="1"/>
  <c r="A41" i="1"/>
  <c r="A66" i="1"/>
  <c r="A99" i="1"/>
  <c r="A93" i="1"/>
  <c r="A35" i="1"/>
  <c r="A78" i="1"/>
  <c r="A132" i="1"/>
  <c r="A128" i="1"/>
  <c r="A45" i="1"/>
  <c r="A113" i="1"/>
  <c r="A65" i="1"/>
  <c r="A101" i="1"/>
  <c r="A37" i="1"/>
  <c r="A59" i="1"/>
  <c r="A85" i="1"/>
  <c r="A33" i="1"/>
  <c r="A77" i="1"/>
  <c r="A137" i="1"/>
  <c r="A79" i="1"/>
  <c r="A121" i="1"/>
  <c r="A48" i="1"/>
  <c r="A112" i="1"/>
  <c r="A106" i="1"/>
  <c r="A126" i="1"/>
  <c r="A123" i="1"/>
  <c r="A118" i="1"/>
  <c r="A44" i="1"/>
  <c r="A110" i="1"/>
  <c r="A43" i="1"/>
  <c r="A69" i="1"/>
  <c r="A100" i="1"/>
  <c r="A97" i="1"/>
  <c r="A38" i="1"/>
  <c r="A56" i="1"/>
  <c r="A143" i="1"/>
  <c r="A111" i="1"/>
  <c r="A32" i="1"/>
  <c r="A90" i="1"/>
  <c r="A144" i="1"/>
  <c r="A149" i="1"/>
  <c r="A86" i="1"/>
  <c r="A108" i="1"/>
  <c r="A95" i="1"/>
  <c r="A84" i="1"/>
  <c r="A142" i="1"/>
  <c r="A76" i="1"/>
  <c r="A122" i="1"/>
  <c r="A145" i="1"/>
  <c r="A103" i="1"/>
  <c r="A73" i="1"/>
  <c r="A119" i="1"/>
  <c r="A72" i="1"/>
  <c r="A147" i="1"/>
  <c r="A148" i="1"/>
  <c r="A146" i="1"/>
  <c r="A136" i="1"/>
  <c r="A140" i="1"/>
  <c r="A96" i="1"/>
  <c r="A104" i="1"/>
  <c r="A52" i="1"/>
  <c r="A120" i="1"/>
  <c r="A124" i="1"/>
  <c r="A107" i="1"/>
  <c r="A117" i="1"/>
  <c r="A141" i="1"/>
  <c r="A64" i="1"/>
  <c r="A82" i="1"/>
  <c r="A75" i="1"/>
  <c r="A61" i="1"/>
  <c r="A80" i="1"/>
  <c r="A60" i="1"/>
  <c r="A109" i="1"/>
  <c r="A53" i="1"/>
  <c r="A58" i="1"/>
  <c r="A91" i="1"/>
  <c r="A134" i="1"/>
  <c r="A125" i="1"/>
  <c r="A105" i="1"/>
  <c r="A36" i="1"/>
  <c r="A139" i="1"/>
  <c r="A133" i="1"/>
  <c r="A116" i="1"/>
  <c r="A68" i="1"/>
  <c r="A129" i="1"/>
  <c r="A115" i="1"/>
  <c r="A130" i="1"/>
  <c r="A127" i="1"/>
  <c r="A49" i="1"/>
  <c r="A83" i="1"/>
  <c r="A63" i="1"/>
  <c r="A74" i="1"/>
  <c r="A54" i="1"/>
  <c r="A138" i="1"/>
  <c r="A89" i="1"/>
  <c r="A34" i="1"/>
  <c r="A50" i="1"/>
  <c r="A24" i="1"/>
  <c r="A7" i="1"/>
  <c r="A13" i="1"/>
  <c r="A22" i="1"/>
  <c r="A3" i="1"/>
  <c r="A27" i="1"/>
  <c r="A17" i="1"/>
  <c r="A16" i="1"/>
  <c r="A14" i="1"/>
  <c r="A23" i="1"/>
  <c r="A19" i="1"/>
  <c r="A15" i="1"/>
  <c r="A9" i="1"/>
  <c r="A21" i="1"/>
  <c r="A20" i="1"/>
  <c r="A12" i="1"/>
  <c r="A10" i="1"/>
  <c r="A8" i="1"/>
  <c r="A26" i="1"/>
  <c r="A11" i="1"/>
  <c r="A18" i="1"/>
  <c r="A25" i="1"/>
  <c r="A6" i="1"/>
  <c r="A5" i="1"/>
  <c r="A7" i="2"/>
  <c r="A19" i="2"/>
  <c r="A3" i="2"/>
  <c r="A10" i="2"/>
  <c r="A22" i="2"/>
  <c r="A13" i="2"/>
  <c r="A21" i="2"/>
  <c r="A20" i="2"/>
  <c r="A14" i="2"/>
  <c r="A17" i="2"/>
  <c r="A4" i="2"/>
  <c r="A11" i="2"/>
  <c r="A15" i="2"/>
  <c r="A18" i="2"/>
  <c r="A6" i="2"/>
  <c r="A8" i="2"/>
  <c r="A16" i="2"/>
  <c r="A9" i="2"/>
  <c r="A12" i="2"/>
  <c r="A82" i="3"/>
  <c r="A58" i="3"/>
  <c r="A50" i="3"/>
  <c r="A36" i="3"/>
  <c r="A81" i="3"/>
  <c r="A65" i="3"/>
  <c r="A74" i="3"/>
  <c r="A95" i="3"/>
  <c r="A90" i="3"/>
  <c r="A55" i="3"/>
  <c r="A47" i="3"/>
  <c r="A75" i="3"/>
  <c r="A39" i="3"/>
  <c r="A44" i="3"/>
  <c r="A71" i="3"/>
  <c r="A52" i="3"/>
  <c r="A84" i="3"/>
  <c r="A42" i="3"/>
  <c r="A69" i="3"/>
  <c r="A54" i="3"/>
  <c r="A53" i="3"/>
  <c r="A80" i="3"/>
  <c r="A83" i="3"/>
  <c r="A96" i="3"/>
  <c r="A30" i="3"/>
  <c r="A46" i="3"/>
  <c r="A41" i="3"/>
  <c r="A31" i="3"/>
  <c r="A45" i="3"/>
  <c r="A66" i="3"/>
  <c r="A77" i="3"/>
  <c r="A62" i="3"/>
  <c r="A73" i="3"/>
  <c r="A78" i="3"/>
  <c r="A56" i="3"/>
  <c r="A87" i="3"/>
  <c r="A40" i="3"/>
  <c r="A38" i="3"/>
  <c r="A70" i="3"/>
  <c r="A51" i="3"/>
  <c r="A63" i="3"/>
  <c r="A68" i="3"/>
  <c r="A86" i="3"/>
  <c r="A64" i="3"/>
  <c r="A85" i="3"/>
  <c r="A67" i="3"/>
  <c r="A94" i="3"/>
  <c r="A49" i="3"/>
  <c r="A57" i="3"/>
  <c r="A60" i="3"/>
  <c r="A48" i="3"/>
  <c r="A33" i="3"/>
  <c r="A37" i="3"/>
  <c r="A43" i="3"/>
  <c r="A34" i="3"/>
  <c r="A35" i="3"/>
  <c r="A32" i="3"/>
  <c r="A92" i="3"/>
  <c r="A91" i="3"/>
  <c r="A59" i="3"/>
  <c r="A61" i="3"/>
  <c r="A93" i="3"/>
  <c r="A89" i="3"/>
  <c r="A76" i="3"/>
  <c r="A72" i="3"/>
  <c r="A5" i="10"/>
  <c r="A14" i="10"/>
  <c r="A6" i="10"/>
  <c r="A19" i="10"/>
  <c r="A7" i="10"/>
  <c r="A3" i="10"/>
  <c r="A10" i="10"/>
  <c r="A13" i="10"/>
  <c r="A11" i="10"/>
  <c r="A26" i="10"/>
  <c r="A15" i="10"/>
  <c r="A25" i="10"/>
  <c r="A8" i="10"/>
  <c r="A22" i="10"/>
  <c r="A17" i="10"/>
  <c r="A23" i="10"/>
  <c r="A4" i="10"/>
  <c r="A20" i="10"/>
  <c r="A16" i="10"/>
  <c r="A9" i="10"/>
  <c r="A24" i="10"/>
  <c r="A18" i="10"/>
  <c r="A12" i="10"/>
  <c r="A23" i="3"/>
  <c r="A3" i="3"/>
  <c r="A18" i="3"/>
  <c r="A19" i="3"/>
  <c r="A13" i="3"/>
  <c r="A16" i="3"/>
  <c r="A11" i="3"/>
  <c r="A10" i="3"/>
  <c r="A9" i="3"/>
  <c r="A20" i="3"/>
  <c r="A21" i="3"/>
  <c r="A5" i="3"/>
  <c r="A6" i="3"/>
  <c r="A4" i="3"/>
  <c r="A8" i="3"/>
  <c r="A22" i="3"/>
  <c r="A7" i="3"/>
  <c r="A12" i="3"/>
  <c r="A24" i="3"/>
  <c r="A17" i="3"/>
  <c r="A15" i="3"/>
  <c r="A14" i="3"/>
  <c r="A30" i="4"/>
  <c r="A25" i="4"/>
  <c r="A50" i="4"/>
  <c r="A27" i="4"/>
  <c r="A61" i="4"/>
  <c r="A38" i="4"/>
  <c r="A24" i="4"/>
  <c r="A49" i="4"/>
  <c r="A39" i="4"/>
  <c r="A29" i="4"/>
  <c r="A28" i="4"/>
  <c r="A32" i="4"/>
  <c r="A54" i="4"/>
  <c r="A48" i="4"/>
  <c r="A53" i="4"/>
  <c r="A23" i="4"/>
  <c r="A55" i="4"/>
  <c r="A46" i="4"/>
  <c r="A65" i="4"/>
  <c r="A57" i="4"/>
  <c r="A64" i="4"/>
  <c r="A58" i="4"/>
  <c r="A52" i="4"/>
  <c r="A47" i="4"/>
  <c r="A59" i="4"/>
  <c r="A63" i="4"/>
  <c r="A43" i="4"/>
  <c r="A60" i="4"/>
  <c r="A56" i="4"/>
  <c r="A36" i="4"/>
  <c r="A33" i="4"/>
  <c r="A45" i="4"/>
  <c r="A26" i="4"/>
  <c r="A31" i="4"/>
  <c r="A34" i="4"/>
  <c r="A41" i="4"/>
  <c r="A51" i="4"/>
  <c r="A37" i="4"/>
  <c r="A35" i="4"/>
  <c r="A44" i="4"/>
  <c r="A42" i="4"/>
  <c r="A40" i="4"/>
  <c r="A62" i="4"/>
  <c r="A65" i="5"/>
  <c r="A64" i="5"/>
  <c r="A53" i="5"/>
  <c r="A46" i="5"/>
  <c r="A58" i="5"/>
  <c r="A40" i="5"/>
  <c r="A56" i="5"/>
  <c r="A19" i="5"/>
  <c r="A3" i="4"/>
  <c r="A12" i="4"/>
  <c r="A16" i="4"/>
  <c r="A9" i="4"/>
  <c r="A15" i="4"/>
  <c r="A14" i="4"/>
  <c r="A10" i="4"/>
  <c r="A11" i="4"/>
  <c r="A13" i="4"/>
  <c r="A6" i="4"/>
  <c r="A7" i="4"/>
  <c r="A5" i="4"/>
  <c r="A4" i="4"/>
  <c r="A8" i="4"/>
  <c r="A36" i="5"/>
  <c r="A54" i="5"/>
  <c r="A38" i="5"/>
  <c r="A59" i="5"/>
  <c r="A37" i="5"/>
  <c r="A29" i="5"/>
  <c r="A43" i="5"/>
  <c r="A57" i="5"/>
  <c r="A31" i="5"/>
  <c r="A42" i="5"/>
  <c r="A30" i="5"/>
  <c r="A52" i="5"/>
  <c r="A41" i="5"/>
  <c r="A44" i="5"/>
  <c r="A60" i="5"/>
  <c r="A34" i="5"/>
  <c r="A33" i="5"/>
  <c r="A47" i="5"/>
  <c r="A50" i="5"/>
  <c r="A32" i="5"/>
  <c r="A49" i="5"/>
  <c r="A62" i="5"/>
  <c r="A63" i="5"/>
  <c r="A35" i="5"/>
  <c r="A55" i="5"/>
  <c r="A51" i="5"/>
  <c r="A28" i="5"/>
  <c r="A48" i="5"/>
  <c r="A45" i="5"/>
  <c r="A61" i="5"/>
  <c r="A27" i="5"/>
  <c r="A39" i="5"/>
  <c r="A18" i="5"/>
  <c r="A4" i="5"/>
  <c r="A7" i="5"/>
  <c r="A15" i="5"/>
  <c r="A8" i="5"/>
  <c r="A16" i="5"/>
  <c r="A3" i="5"/>
  <c r="A6" i="5"/>
  <c r="A10" i="5"/>
  <c r="A11" i="5"/>
  <c r="A14" i="5"/>
  <c r="A5" i="5"/>
  <c r="A9" i="5"/>
  <c r="A17" i="5"/>
  <c r="A12" i="5"/>
  <c r="A13" i="5"/>
  <c r="J58" i="6"/>
  <c r="J57" i="6"/>
  <c r="J61" i="6"/>
  <c r="J62" i="6"/>
  <c r="J51" i="6"/>
  <c r="J50" i="6"/>
  <c r="J54" i="6"/>
  <c r="J63" i="6"/>
  <c r="J55" i="6"/>
  <c r="J39" i="6"/>
  <c r="A39" i="6" s="1"/>
  <c r="J35" i="6"/>
  <c r="J42" i="6"/>
  <c r="J34" i="6"/>
  <c r="J21" i="6"/>
  <c r="J20" i="6"/>
  <c r="J23" i="6"/>
  <c r="J27" i="6"/>
  <c r="J25" i="6"/>
  <c r="A25" i="6" s="1"/>
  <c r="J24" i="6"/>
  <c r="J22" i="6"/>
  <c r="J28" i="6"/>
  <c r="J18" i="6"/>
  <c r="J13" i="6"/>
  <c r="J5" i="6"/>
  <c r="J3" i="6"/>
  <c r="J4" i="6"/>
  <c r="J9" i="6"/>
  <c r="J6" i="6"/>
  <c r="J7" i="6"/>
  <c r="J8" i="6"/>
  <c r="J10" i="6"/>
  <c r="J11" i="6"/>
  <c r="A23" i="6" l="1"/>
  <c r="A20" i="6"/>
  <c r="A18" i="6"/>
  <c r="A29" i="6"/>
  <c r="A19" i="6"/>
  <c r="A26" i="6"/>
  <c r="A21" i="6"/>
  <c r="A28" i="6"/>
  <c r="A34" i="6"/>
  <c r="A41" i="6"/>
  <c r="A44" i="6"/>
  <c r="A38" i="6"/>
  <c r="A40" i="6"/>
  <c r="A43" i="6"/>
  <c r="A37" i="6"/>
  <c r="A36" i="6"/>
  <c r="A22" i="6"/>
  <c r="A42" i="6"/>
  <c r="A27" i="6"/>
  <c r="A24" i="6"/>
  <c r="A35" i="6"/>
  <c r="A55" i="6"/>
  <c r="A51" i="6"/>
  <c r="A62" i="6"/>
  <c r="A54" i="6"/>
  <c r="A61" i="6"/>
  <c r="A58" i="6"/>
  <c r="A63" i="6"/>
  <c r="A50" i="6"/>
  <c r="A60" i="6"/>
  <c r="A53" i="6"/>
  <c r="A59" i="6"/>
  <c r="A56" i="6"/>
  <c r="A52" i="6"/>
  <c r="A57" i="6"/>
  <c r="A4" i="6"/>
  <c r="A10" i="6"/>
  <c r="A6" i="6"/>
  <c r="A11" i="6"/>
  <c r="A13" i="6"/>
  <c r="A3" i="6"/>
  <c r="A7" i="6"/>
  <c r="A9" i="6"/>
  <c r="A8" i="6"/>
  <c r="A12" i="6"/>
  <c r="A5" i="6"/>
</calcChain>
</file>

<file path=xl/sharedStrings.xml><?xml version="1.0" encoding="utf-8"?>
<sst xmlns="http://schemas.openxmlformats.org/spreadsheetml/2006/main" count="2883" uniqueCount="855">
  <si>
    <t>Category</t>
  </si>
  <si>
    <t>Bristol</t>
  </si>
  <si>
    <t>Cambridge</t>
  </si>
  <si>
    <t>Southampton</t>
  </si>
  <si>
    <t>Bath</t>
  </si>
  <si>
    <t>Warwick</t>
  </si>
  <si>
    <t>League</t>
  </si>
  <si>
    <t>Name</t>
  </si>
  <si>
    <t>Club</t>
  </si>
  <si>
    <t>E+D Points</t>
  </si>
  <si>
    <t>Names</t>
  </si>
  <si>
    <t>Total</t>
  </si>
  <si>
    <t>Birmingham</t>
  </si>
  <si>
    <t>Lance Stephens</t>
  </si>
  <si>
    <t>Cardiff Met</t>
  </si>
  <si>
    <t>SUTL ELITE Men</t>
  </si>
  <si>
    <t>Luke Dewe</t>
  </si>
  <si>
    <t>William Gower</t>
  </si>
  <si>
    <t>Matt Burson</t>
  </si>
  <si>
    <t>Exeter</t>
  </si>
  <si>
    <t>Ralph Edwards</t>
  </si>
  <si>
    <t>Jonny Butler</t>
  </si>
  <si>
    <t>Andrew Taylor</t>
  </si>
  <si>
    <t>Charlie Pearson</t>
  </si>
  <si>
    <t>Ayrd Pearson</t>
  </si>
  <si>
    <t>Angus Stone</t>
  </si>
  <si>
    <t>India Marshall</t>
  </si>
  <si>
    <t>Cardiff</t>
  </si>
  <si>
    <t>SUTL ELITE Women</t>
  </si>
  <si>
    <t>Rachel Thomas</t>
  </si>
  <si>
    <t>Evie Anghileri</t>
  </si>
  <si>
    <t>Bryony Robins</t>
  </si>
  <si>
    <t>Natalya Helvadjian Williams</t>
  </si>
  <si>
    <t>Emma Collier</t>
  </si>
  <si>
    <t>Alice Feazey-Noble</t>
  </si>
  <si>
    <t>UEA</t>
  </si>
  <si>
    <t>Bethan Davies-Williams</t>
  </si>
  <si>
    <t>Michael Bridgeman</t>
  </si>
  <si>
    <t>SUTL 1 Men</t>
  </si>
  <si>
    <t>Dylan Hurter</t>
  </si>
  <si>
    <t>Shannon Bernard Healey</t>
  </si>
  <si>
    <t>Greg Leaney</t>
  </si>
  <si>
    <t>Corin Clark</t>
  </si>
  <si>
    <t>SUTL 1 Women</t>
  </si>
  <si>
    <t>Kirsten Serneels</t>
  </si>
  <si>
    <t>Emma Jade</t>
  </si>
  <si>
    <t>Gloucestershire</t>
  </si>
  <si>
    <t>Sarah Dearman</t>
  </si>
  <si>
    <t>Frankie Osborn</t>
  </si>
  <si>
    <t>Brede Simpson</t>
  </si>
  <si>
    <t>Ria Beckett</t>
  </si>
  <si>
    <t>Kerry Miller</t>
  </si>
  <si>
    <t>Ruth Wright</t>
  </si>
  <si>
    <t>Rose Kent</t>
  </si>
  <si>
    <t>Oxford</t>
  </si>
  <si>
    <t>Louis Beaumont</t>
  </si>
  <si>
    <t>SUTL 2 Men</t>
  </si>
  <si>
    <t>Dan Routledge</t>
  </si>
  <si>
    <t>Ben Gray</t>
  </si>
  <si>
    <t>Reading</t>
  </si>
  <si>
    <t>Jack Dranfield</t>
  </si>
  <si>
    <t>Portsmouth</t>
  </si>
  <si>
    <t>Mitchell Evans</t>
  </si>
  <si>
    <t>George Wood</t>
  </si>
  <si>
    <t>Dieter Curran</t>
  </si>
  <si>
    <t>Nathan McGhee</t>
  </si>
  <si>
    <t>Dan Mullis</t>
  </si>
  <si>
    <t>Jamie Wilson</t>
  </si>
  <si>
    <t>Ben Trebble</t>
  </si>
  <si>
    <t>Daniel Jones</t>
  </si>
  <si>
    <t>Alice Reed</t>
  </si>
  <si>
    <t>SUTL 2 Women</t>
  </si>
  <si>
    <t>Alissa Mills</t>
  </si>
  <si>
    <t>Cerys Jones</t>
  </si>
  <si>
    <t>Abbie Godsall</t>
  </si>
  <si>
    <t>Eva Webb</t>
  </si>
  <si>
    <t>Kaitlin Meredith</t>
  </si>
  <si>
    <t>Bournemouth</t>
  </si>
  <si>
    <t>Kate Rafferty</t>
  </si>
  <si>
    <t>Sophie Mathewson</t>
  </si>
  <si>
    <t>Lilly Herbert</t>
  </si>
  <si>
    <t>Sian Emsley</t>
  </si>
  <si>
    <t>Natalie Goncalves</t>
  </si>
  <si>
    <t>Merryn Harvey</t>
  </si>
  <si>
    <t>Grace Hooper</t>
  </si>
  <si>
    <t>Millie Chatfield</t>
  </si>
  <si>
    <t>Hannah Hewett</t>
  </si>
  <si>
    <t>Katie Evans</t>
  </si>
  <si>
    <t>Annabelle Maillot</t>
  </si>
  <si>
    <t>Ellie Courtney</t>
  </si>
  <si>
    <t>Rosslyn Haigh</t>
  </si>
  <si>
    <t>Aimee Bowers</t>
  </si>
  <si>
    <t>Lucy Vendittelli</t>
  </si>
  <si>
    <t>Ellie Holden</t>
  </si>
  <si>
    <t>Zara Munday</t>
  </si>
  <si>
    <t>Solent</t>
  </si>
  <si>
    <t>Christina Stankey</t>
  </si>
  <si>
    <t>Lily Munns</t>
  </si>
  <si>
    <t>Plymouth</t>
  </si>
  <si>
    <t>Megan Abbott</t>
  </si>
  <si>
    <t>Bailey Massey</t>
  </si>
  <si>
    <t>SUTL 3 Men</t>
  </si>
  <si>
    <t>Jake Pettman</t>
  </si>
  <si>
    <t>Mike Morgan</t>
  </si>
  <si>
    <t>Wesley McCartney</t>
  </si>
  <si>
    <t>Kit Valentine</t>
  </si>
  <si>
    <t>Jessica Jacobs</t>
  </si>
  <si>
    <t>SUTL 3 Women</t>
  </si>
  <si>
    <t>Imogen Spooncer</t>
  </si>
  <si>
    <t>Marjon</t>
  </si>
  <si>
    <t>Ayome Reid</t>
  </si>
  <si>
    <t>Worcester</t>
  </si>
  <si>
    <t>Katie Wojcik</t>
  </si>
  <si>
    <t>Emily Conroy</t>
  </si>
  <si>
    <t>Amy Gold</t>
  </si>
  <si>
    <t>Emma Reid</t>
  </si>
  <si>
    <t>Bailey Aver</t>
  </si>
  <si>
    <t>Winchester</t>
  </si>
  <si>
    <t>Emma Gregg</t>
  </si>
  <si>
    <t>Shemaya Hurd-Thomas</t>
  </si>
  <si>
    <t>Caitlin Doyle</t>
  </si>
  <si>
    <t>Holly Gutteridge</t>
  </si>
  <si>
    <t>Harriet Digweed</t>
  </si>
  <si>
    <t>Zoe Winn</t>
  </si>
  <si>
    <t>Bath Spa</t>
  </si>
  <si>
    <t>Chelsey Lallem-Haylock</t>
  </si>
  <si>
    <t>UWE</t>
  </si>
  <si>
    <t>Jessica Prentice</t>
  </si>
  <si>
    <t>Annie Slater</t>
  </si>
  <si>
    <t>Zara Poole</t>
  </si>
  <si>
    <t>Chloe Sampford</t>
  </si>
  <si>
    <t>CCCU</t>
  </si>
  <si>
    <t>Alice Dunkley</t>
  </si>
  <si>
    <t>Annabelle Drennan</t>
  </si>
  <si>
    <t>Leah Hennessy</t>
  </si>
  <si>
    <t>Ellie Dunstan</t>
  </si>
  <si>
    <t>Keavie Wreford</t>
  </si>
  <si>
    <t>Brad Plokker</t>
  </si>
  <si>
    <t>SUTL 4 Men</t>
  </si>
  <si>
    <t>Luke Cowley</t>
  </si>
  <si>
    <t>Robert Jones</t>
  </si>
  <si>
    <t>Royal Holloway</t>
  </si>
  <si>
    <t>Owen Purnell</t>
  </si>
  <si>
    <t>Shaun Hylands</t>
  </si>
  <si>
    <t>Josh Loizou</t>
  </si>
  <si>
    <t>Jamison McMackin</t>
  </si>
  <si>
    <t>Steven Kauppayamootoo</t>
  </si>
  <si>
    <t>Matthew Clowe</t>
  </si>
  <si>
    <t>Jako Barker</t>
  </si>
  <si>
    <t>Tom Richardson</t>
  </si>
  <si>
    <t>Chad Silk</t>
  </si>
  <si>
    <t>Rebekah Martin</t>
  </si>
  <si>
    <t>SUTL 4 Women</t>
  </si>
  <si>
    <t>Becci Litt</t>
  </si>
  <si>
    <t>Gemma Abbott</t>
  </si>
  <si>
    <t>Louisa Harris</t>
  </si>
  <si>
    <t>Jessica White</t>
  </si>
  <si>
    <t>Malindi Parker</t>
  </si>
  <si>
    <t>Lucy Cox</t>
  </si>
  <si>
    <t>Charlotte Cranmer</t>
  </si>
  <si>
    <t>Surrey</t>
  </si>
  <si>
    <t>Katie Martin</t>
  </si>
  <si>
    <t>Sophie Cox</t>
  </si>
  <si>
    <t>Chloe Ashby</t>
  </si>
  <si>
    <t>Sam Neale</t>
  </si>
  <si>
    <t>Caitlin Moore</t>
  </si>
  <si>
    <t>Mai Lam</t>
  </si>
  <si>
    <t>Amy Wilkinson</t>
  </si>
  <si>
    <t>Caitlin Evans</t>
  </si>
  <si>
    <t>Caitlin Theocharis</t>
  </si>
  <si>
    <t>Caitlin Thompson</t>
  </si>
  <si>
    <t>Aisha White</t>
  </si>
  <si>
    <t>Megan Ball</t>
  </si>
  <si>
    <t>Louise Overall</t>
  </si>
  <si>
    <t>Jac Hawkey</t>
  </si>
  <si>
    <t>Abbie Klus</t>
  </si>
  <si>
    <t>Georgie Wilson</t>
  </si>
  <si>
    <t>Ray Awcock</t>
  </si>
  <si>
    <t>Lara Farrell</t>
  </si>
  <si>
    <t>Kira Bowes</t>
  </si>
  <si>
    <t>Rosie O’Reilly</t>
  </si>
  <si>
    <t>Leah Thomas-Daye</t>
  </si>
  <si>
    <t>Lucy Sharpe</t>
  </si>
  <si>
    <t>Sophie Matthews</t>
  </si>
  <si>
    <t>Katy Joyce</t>
  </si>
  <si>
    <t>Nicole Laudat</t>
  </si>
  <si>
    <t>Nina Saini</t>
  </si>
  <si>
    <t>Millie Shaw</t>
  </si>
  <si>
    <t>Ellie Shaw</t>
  </si>
  <si>
    <t>Steven Kainadas</t>
  </si>
  <si>
    <t>SUTL 5 Men</t>
  </si>
  <si>
    <t>Rob Williams</t>
  </si>
  <si>
    <t>Jack Sweeting</t>
  </si>
  <si>
    <t>Joseph Davies</t>
  </si>
  <si>
    <t>Daniel Walker</t>
  </si>
  <si>
    <t>Olly Rushworth</t>
  </si>
  <si>
    <t>Matthew Hancock</t>
  </si>
  <si>
    <t>Matthew Arnull</t>
  </si>
  <si>
    <t>Jonty Sewell</t>
  </si>
  <si>
    <t>Tom Enticknap</t>
  </si>
  <si>
    <t>Mathias Obrzut</t>
  </si>
  <si>
    <t>Jacob Murray</t>
  </si>
  <si>
    <t>Colm Appleby Kenny</t>
  </si>
  <si>
    <t>Henry Pugh</t>
  </si>
  <si>
    <t>Kelsie Russell</t>
  </si>
  <si>
    <t>SUTL 5 Women</t>
  </si>
  <si>
    <t>Sophia D’Souza</t>
  </si>
  <si>
    <t>Orla Drake</t>
  </si>
  <si>
    <t>Sophie McCammon</t>
  </si>
  <si>
    <t>Ffion Taylor</t>
  </si>
  <si>
    <t>Amy Whitten</t>
  </si>
  <si>
    <t>Annie Scott</t>
  </si>
  <si>
    <t>Marina Nicholls</t>
  </si>
  <si>
    <t>Gemma Patterson</t>
  </si>
  <si>
    <t>Yan Ling Toh</t>
  </si>
  <si>
    <t>Emma Brandis</t>
  </si>
  <si>
    <t>Lauren Brown</t>
  </si>
  <si>
    <t>Sophie Middleton</t>
  </si>
  <si>
    <t>Ellie Dimond</t>
  </si>
  <si>
    <t>Laurel Hunt</t>
  </si>
  <si>
    <t>Amy King</t>
  </si>
  <si>
    <t>Hannah Bonsall</t>
  </si>
  <si>
    <t>Morgane Serrie</t>
  </si>
  <si>
    <t>Phoebe Reddin</t>
  </si>
  <si>
    <t>Isabelle Thorne</t>
  </si>
  <si>
    <t>Lissi Buxton</t>
  </si>
  <si>
    <t>Daisy Cleary</t>
  </si>
  <si>
    <t>Erin Tait</t>
  </si>
  <si>
    <t>Anna Burnston</t>
  </si>
  <si>
    <t>Eva-Maria Ahrer</t>
  </si>
  <si>
    <t>Molly McNicholl</t>
  </si>
  <si>
    <t>Lizzie Harris</t>
  </si>
  <si>
    <t>Lucy Edrich</t>
  </si>
  <si>
    <t>Zoe Pemberton</t>
  </si>
  <si>
    <t>Abby Woods</t>
  </si>
  <si>
    <t>Jessica Lewis</t>
  </si>
  <si>
    <t>Nana Balser</t>
  </si>
  <si>
    <t>Laura Perry</t>
  </si>
  <si>
    <t>Abigail Stewart</t>
  </si>
  <si>
    <t>Anna Marsh</t>
  </si>
  <si>
    <t>Amy Tourle</t>
  </si>
  <si>
    <t>Tristan Weir</t>
  </si>
  <si>
    <t>SUTL 6 Men</t>
  </si>
  <si>
    <t>Ed Rivett</t>
  </si>
  <si>
    <t>Jeremy Edirin</t>
  </si>
  <si>
    <t>Middlesex</t>
  </si>
  <si>
    <t>Harrison Gallagher</t>
  </si>
  <si>
    <t>Louis March</t>
  </si>
  <si>
    <t>Kevin Liang</t>
  </si>
  <si>
    <t>Aaron Dickinson</t>
  </si>
  <si>
    <t>Kane Hill</t>
  </si>
  <si>
    <t>Hugo Aaronson</t>
  </si>
  <si>
    <t>Ayo Ige</t>
  </si>
  <si>
    <t>Henry Bell</t>
  </si>
  <si>
    <t>Shay Butler</t>
  </si>
  <si>
    <t>Tegan Archer</t>
  </si>
  <si>
    <t>SUTL 6 Women</t>
  </si>
  <si>
    <t>Aimee Peacock</t>
  </si>
  <si>
    <t>Roehampton</t>
  </si>
  <si>
    <t>Katie Lever</t>
  </si>
  <si>
    <t>Emily Ralfs</t>
  </si>
  <si>
    <t>Laura Beecroft</t>
  </si>
  <si>
    <t>Lucy Steadman</t>
  </si>
  <si>
    <t>Faye Bingham</t>
  </si>
  <si>
    <t>Emily Wilkinson</t>
  </si>
  <si>
    <t>Georgia Ray</t>
  </si>
  <si>
    <t>Emma Bookham</t>
  </si>
  <si>
    <t>Alice Bradshaw</t>
  </si>
  <si>
    <t>Maddy Shadrach</t>
  </si>
  <si>
    <t>Catrin Rathbone</t>
  </si>
  <si>
    <t>Amber Lovett</t>
  </si>
  <si>
    <t>Charlie Robinson</t>
  </si>
  <si>
    <t>Yasmin McInally</t>
  </si>
  <si>
    <t>Caragh Williams</t>
  </si>
  <si>
    <t>Tilda Small</t>
  </si>
  <si>
    <t>Imogen Laing</t>
  </si>
  <si>
    <t>Izzie Kendell</t>
  </si>
  <si>
    <t>Seren Richards</t>
  </si>
  <si>
    <t>Shivani Patel</t>
  </si>
  <si>
    <t>Cerri Gaskin</t>
  </si>
  <si>
    <t>Kirby Evans</t>
  </si>
  <si>
    <t>Elaina Harris</t>
  </si>
  <si>
    <t>Emma Watterson</t>
  </si>
  <si>
    <t>Laura Smith</t>
  </si>
  <si>
    <t>Charlotte Drewett</t>
  </si>
  <si>
    <t>Rhiannon Appleby</t>
  </si>
  <si>
    <t>Elizabeth Linsky</t>
  </si>
  <si>
    <t>Jess Storey</t>
  </si>
  <si>
    <t>Erin Maguinness</t>
  </si>
  <si>
    <t>Emily Press</t>
  </si>
  <si>
    <t>Rachael Lodge</t>
  </si>
  <si>
    <t>Becky Perkins</t>
  </si>
  <si>
    <t>Nimat Anike Awoyemi</t>
  </si>
  <si>
    <t>Samantha Clifton</t>
  </si>
  <si>
    <t>Bethan Hankin</t>
  </si>
  <si>
    <t>Katie Murphy</t>
  </si>
  <si>
    <t>Channy Drewery</t>
  </si>
  <si>
    <t>Natalie Singhal</t>
  </si>
  <si>
    <t>Jackie Voros</t>
  </si>
  <si>
    <t>Chloe Osborne</t>
  </si>
  <si>
    <t>Dina Salih</t>
  </si>
  <si>
    <t>Kim Ta</t>
  </si>
  <si>
    <t>Sophie Slater-Platt</t>
  </si>
  <si>
    <t>Esther Korner</t>
  </si>
  <si>
    <t>Jamie Harvey</t>
  </si>
  <si>
    <t>Ellie Miners</t>
  </si>
  <si>
    <t>Kanari Yamazaki</t>
  </si>
  <si>
    <t>Alex Webb</t>
  </si>
  <si>
    <t>Joella Maddin</t>
  </si>
  <si>
    <t>Hannah Rody</t>
  </si>
  <si>
    <t>Maia Charles</t>
  </si>
  <si>
    <t>Rebecca Lees</t>
  </si>
  <si>
    <t>Lara Turner</t>
  </si>
  <si>
    <t>Bethany Walker</t>
  </si>
  <si>
    <t>Daniel Allam</t>
  </si>
  <si>
    <t>SUTL 7 Men</t>
  </si>
  <si>
    <t>Marios Koliandris</t>
  </si>
  <si>
    <t>James Hollamby</t>
  </si>
  <si>
    <t>Jasen Borisov</t>
  </si>
  <si>
    <t>Awwal Erster</t>
  </si>
  <si>
    <t>Kieran Drury</t>
  </si>
  <si>
    <t>Jonathon Hann</t>
  </si>
  <si>
    <t>Andi Ward</t>
  </si>
  <si>
    <t>Charlie Davies</t>
  </si>
  <si>
    <t>Conor Treston</t>
  </si>
  <si>
    <t>Lucy Miller</t>
  </si>
  <si>
    <t>SUTL 7 Women</t>
  </si>
  <si>
    <t>Bonnie Gordon</t>
  </si>
  <si>
    <t>Lily Stocks</t>
  </si>
  <si>
    <t>Fliss Gwynne</t>
  </si>
  <si>
    <t>Phoebe Thomas</t>
  </si>
  <si>
    <t>Cass Marshall</t>
  </si>
  <si>
    <t>Sarah Smith</t>
  </si>
  <si>
    <t>Mahalia Tzu Mae</t>
  </si>
  <si>
    <t>Emma Bull</t>
  </si>
  <si>
    <t>Chloe Woodall</t>
  </si>
  <si>
    <t>Emma Fletcher</t>
  </si>
  <si>
    <t>Olivia Morris</t>
  </si>
  <si>
    <t>Morgan Riddiford</t>
  </si>
  <si>
    <t>Nuala Pattenden</t>
  </si>
  <si>
    <t>Lucy Brazier</t>
  </si>
  <si>
    <t>Harriet Smithers</t>
  </si>
  <si>
    <t>Laura Piscitelli</t>
  </si>
  <si>
    <t>Emily Benn</t>
  </si>
  <si>
    <t>Kiera Burgess</t>
  </si>
  <si>
    <t>Chloe Fleming</t>
  </si>
  <si>
    <t>Jess Gallagher</t>
  </si>
  <si>
    <t>Nicole-Veronica Antoine</t>
  </si>
  <si>
    <t>Leigh-Anna Harris</t>
  </si>
  <si>
    <t>Bethan Hopkins</t>
  </si>
  <si>
    <t>Rosie Parks</t>
  </si>
  <si>
    <t>Ashley Penfold</t>
  </si>
  <si>
    <t>Rachael Downer</t>
  </si>
  <si>
    <t>Rosie Evans</t>
  </si>
  <si>
    <t>Rebecca Cummins</t>
  </si>
  <si>
    <t>Georgia Stonadge</t>
  </si>
  <si>
    <t>Chantelle Noble</t>
  </si>
  <si>
    <t>Abby Harding</t>
  </si>
  <si>
    <t>Gabrielle Atkinson</t>
  </si>
  <si>
    <t>Janie Dang</t>
  </si>
  <si>
    <t>Elise Tjemsland</t>
  </si>
  <si>
    <t>Kate Fitzgerald</t>
  </si>
  <si>
    <t>Jana Rychnovsky</t>
  </si>
  <si>
    <t>Alyssia Chilcott</t>
  </si>
  <si>
    <t>Mobolaji Babalola</t>
  </si>
  <si>
    <t>Sydney Clarke</t>
  </si>
  <si>
    <t>Isobel Young</t>
  </si>
  <si>
    <t>Narina Bira</t>
  </si>
  <si>
    <t>Aimee Simpson</t>
  </si>
  <si>
    <t>Gina Zaveri</t>
  </si>
  <si>
    <t>Anna Higgins</t>
  </si>
  <si>
    <t>Shiyuan Zhang</t>
  </si>
  <si>
    <t>Reade Mullen</t>
  </si>
  <si>
    <t>Rebecca Morris</t>
  </si>
  <si>
    <t>Ellie Dolan</t>
  </si>
  <si>
    <t>Chloe Bellamy</t>
  </si>
  <si>
    <t>Abi Fluin</t>
  </si>
  <si>
    <t>Nicola Bannister</t>
  </si>
  <si>
    <t>SUTL Disabled</t>
  </si>
  <si>
    <t>Rank</t>
  </si>
  <si>
    <t>Evie Anghileri &amp; Corin Clark</t>
  </si>
  <si>
    <t>SS1</t>
  </si>
  <si>
    <t>Andrew Taylor &amp; Ralph Edwards</t>
  </si>
  <si>
    <t>Andrew Taylor &amp; Alice Reed</t>
  </si>
  <si>
    <t>Ralph Edwards &amp; Dan Routledge</t>
  </si>
  <si>
    <t>Millie Chatfield &amp; Charlie Pearson</t>
  </si>
  <si>
    <t>Brede Simpson &amp; Natalie Goncalves</t>
  </si>
  <si>
    <t>Katie Evans &amp; Kerry Miller</t>
  </si>
  <si>
    <t>Emma Collier &amp; Grace Hooper</t>
  </si>
  <si>
    <t>Jamie Wilson &amp; Ruth Wright</t>
  </si>
  <si>
    <t>William Gower &amp; Lance Stephens</t>
  </si>
  <si>
    <t>Shannon Bernand Healey &amp; Frankie Osborn</t>
  </si>
  <si>
    <t>Lance Stephens &amp; Dylan Hurter</t>
  </si>
  <si>
    <t>Jonny Butler &amp; Ayrd Pearson</t>
  </si>
  <si>
    <t>Rosslyn Haigh &amp; Matt Burson</t>
  </si>
  <si>
    <t>Emma Jade &amp; Lilly Herbert</t>
  </si>
  <si>
    <t>Sophie Mathewson &amp; Ellie Holden</t>
  </si>
  <si>
    <t>Greg Leaney &amp; Millie Chatfield</t>
  </si>
  <si>
    <t>Emma Reid &amp; Jessica Prentice</t>
  </si>
  <si>
    <t>SS2</t>
  </si>
  <si>
    <t>Aisha White &amp; Lucy Cox</t>
  </si>
  <si>
    <t>Gemma Abbott &amp; Malindi Parker</t>
  </si>
  <si>
    <t>Georgie Wilson &amp; Sam Neale</t>
  </si>
  <si>
    <t>Caitlin Evans &amp; Holly Gutteridge</t>
  </si>
  <si>
    <t>Harriet Digweed &amp; Katy Joyce</t>
  </si>
  <si>
    <t>Mike Morgan &amp; Caitlin Theocharis</t>
  </si>
  <si>
    <t>Wesley McCartney &amp; Katie Wojcik</t>
  </si>
  <si>
    <t>Leah Hennessy &amp; Alice Dunkley</t>
  </si>
  <si>
    <t>Zara Poole &amp; Tyler Molten</t>
  </si>
  <si>
    <t>Megan Daw &amp; Chloe Ashby</t>
  </si>
  <si>
    <t>Bailey Aver &amp; Megan Ball</t>
  </si>
  <si>
    <t>Amy Gold &amp; Wesley McCartney</t>
  </si>
  <si>
    <t>Bailey Massey &amp; Mai Lam</t>
  </si>
  <si>
    <t>Louisa Harris &amp; Jessica Jacobs</t>
  </si>
  <si>
    <t>Jac Hawkey &amp; Amy Gold</t>
  </si>
  <si>
    <t>Sophie Matthews &amp; Nina Saini</t>
  </si>
  <si>
    <t>Caitlin Moore &amp; Robert Jones</t>
  </si>
  <si>
    <t>Jako Barker &amp; Shaun Hylands</t>
  </si>
  <si>
    <t>Lucy Miller &amp; Tegan Archer</t>
  </si>
  <si>
    <t>SS3</t>
  </si>
  <si>
    <t>Emily Wilkinson &amp; Morgan Riddiford</t>
  </si>
  <si>
    <t>Emma Bull &amp; Emily Ralfs</t>
  </si>
  <si>
    <t>Faye Bingham &amp; Caragh Williams</t>
  </si>
  <si>
    <t>Colm Appleby Kenny &amp; Lucy Steadman</t>
  </si>
  <si>
    <t>Emma Brandis &amp; Sophie McCammon</t>
  </si>
  <si>
    <t>Seren Richards &amp; Chantelle Noble</t>
  </si>
  <si>
    <t>Rachael Lodge &amp; Alice Bradshaw</t>
  </si>
  <si>
    <t>Charlie Robinson &amp; Imogen Laing</t>
  </si>
  <si>
    <t>Tilda Smaill &amp; Cerri Gaskin</t>
  </si>
  <si>
    <t>Matthew Hancock &amp; Rob Williams</t>
  </si>
  <si>
    <t>Joseph Davies &amp; Matthew Arnull</t>
  </si>
  <si>
    <t>Jana Rychnovsky &amp; Sophie Towill</t>
  </si>
  <si>
    <t>Chloe Tay &amp; Renata Denes</t>
  </si>
  <si>
    <t>Emma Watterson &amp; Lizzie Harris</t>
  </si>
  <si>
    <t>Olivia Morris &amp; Anna Higgins</t>
  </si>
  <si>
    <t>Elaina Harris &amp; Eva-Maria Ahrer</t>
  </si>
  <si>
    <t>Gemma Patterson &amp; Abigail Stewart</t>
  </si>
  <si>
    <t>Ashley Penfold &amp; Maddy Shadrach</t>
  </si>
  <si>
    <t>Hannah Rody &amp; Emma Bookham</t>
  </si>
  <si>
    <t>Tristan Weir &amp; Malindi Parker</t>
  </si>
  <si>
    <t>Kim Ta &amp; Marios Koliandris</t>
  </si>
  <si>
    <t>Laura Beecroft &amp; Abby Harding</t>
  </si>
  <si>
    <t>Yan Ling Toh &amp; Mathias Obrzut</t>
  </si>
  <si>
    <t>Kieran Drury &amp; Tim Page</t>
  </si>
  <si>
    <t>James Purcell &amp; Archie Rowberry</t>
  </si>
  <si>
    <t>Gina Zaveri &amp; Laura Piscitelli</t>
  </si>
  <si>
    <t>Sophia D’Souza &amp; Abby Woods</t>
  </si>
  <si>
    <t>Harrison Gallagher &amp; Mahalia Tzu Mae</t>
  </si>
  <si>
    <t>Dina Salih &amp; Samantha Clifton</t>
  </si>
  <si>
    <t>Jackie Voros &amp; Erin Tait</t>
  </si>
  <si>
    <t>Jessica Lewis &amp; Lucy Edrich</t>
  </si>
  <si>
    <t>Catherine Thomas</t>
  </si>
  <si>
    <t>Esther Haigh</t>
  </si>
  <si>
    <t>Oliver Greaves</t>
  </si>
  <si>
    <t>Zachary Anctil</t>
  </si>
  <si>
    <t>Alysia Middleton</t>
  </si>
  <si>
    <t>Northampton</t>
  </si>
  <si>
    <t>Josh Morris-Hill</t>
  </si>
  <si>
    <t>Philip Baker</t>
  </si>
  <si>
    <t>Valdemar Aksionoff</t>
  </si>
  <si>
    <t>Ashlee Wait</t>
  </si>
  <si>
    <t>Charlotte Goswell</t>
  </si>
  <si>
    <t>Elizabeth Payne</t>
  </si>
  <si>
    <t>Jodi Grier</t>
  </si>
  <si>
    <t>Lauren Tebutt</t>
  </si>
  <si>
    <t>Morayo Lasekan</t>
  </si>
  <si>
    <t>George Armstrong</t>
  </si>
  <si>
    <t>Chloe Logan</t>
  </si>
  <si>
    <t>Edit Barbantan</t>
  </si>
  <si>
    <t>Eleanor Armstrong-Mortlock</t>
  </si>
  <si>
    <t>Ella Allford</t>
  </si>
  <si>
    <t>Hollie Platt</t>
  </si>
  <si>
    <t>Sammy Gatenby-Brown</t>
  </si>
  <si>
    <t>Hadrien Develay</t>
  </si>
  <si>
    <t>Amy Jerrey</t>
  </si>
  <si>
    <t>Anna Burston</t>
  </si>
  <si>
    <t>Emma Broadley</t>
  </si>
  <si>
    <t>Evie Holden</t>
  </si>
  <si>
    <t>Izzie Hutchinson</t>
  </si>
  <si>
    <t>Louise Morgan</t>
  </si>
  <si>
    <t>Marie Lush</t>
  </si>
  <si>
    <t>Megan Edwards</t>
  </si>
  <si>
    <t>Natasha Trotman</t>
  </si>
  <si>
    <t>Sophie Boardman</t>
  </si>
  <si>
    <t>Sussex</t>
  </si>
  <si>
    <t>Tobi Stevens</t>
  </si>
  <si>
    <t>Yemisi Onigbanjo</t>
  </si>
  <si>
    <t>Bethany Perry</t>
  </si>
  <si>
    <t>Charlotte Boothe</t>
  </si>
  <si>
    <t>Ella Gannon</t>
  </si>
  <si>
    <t>Ella Williams</t>
  </si>
  <si>
    <t>Kelsey Boden</t>
  </si>
  <si>
    <t>Kimberleigh Basham</t>
  </si>
  <si>
    <t>Medway</t>
  </si>
  <si>
    <t>Lara Stembridge</t>
  </si>
  <si>
    <t>Kent</t>
  </si>
  <si>
    <t>Lizzie Barrowclough</t>
  </si>
  <si>
    <t>Olivia Tonkin</t>
  </si>
  <si>
    <t>William Jefferies</t>
  </si>
  <si>
    <t>Luc Brown</t>
  </si>
  <si>
    <t>Marios Contopoulos</t>
  </si>
  <si>
    <t>Sam Goldsmith</t>
  </si>
  <si>
    <t>Adele Morley</t>
  </si>
  <si>
    <t>Anna Dickerson</t>
  </si>
  <si>
    <t>Anna Parkes</t>
  </si>
  <si>
    <t>Brianna Wright</t>
  </si>
  <si>
    <t>Caroline Johnson</t>
  </si>
  <si>
    <t>Ellie Collett</t>
  </si>
  <si>
    <t>Emma Higgins</t>
  </si>
  <si>
    <t>Emma Spittal</t>
  </si>
  <si>
    <t>Flora McLennan</t>
  </si>
  <si>
    <t>Heather Kinnear</t>
  </si>
  <si>
    <t>India Casey</t>
  </si>
  <si>
    <t>Jade Leighton</t>
  </si>
  <si>
    <t>Jennifer Michail</t>
  </si>
  <si>
    <t>Jenny Bugg-Millar</t>
  </si>
  <si>
    <t>Laura Dobson</t>
  </si>
  <si>
    <t>Taunton College</t>
  </si>
  <si>
    <t>Lauren Usher</t>
  </si>
  <si>
    <t>Lilith Mannion</t>
  </si>
  <si>
    <t>Sophie Barker</t>
  </si>
  <si>
    <t>Sophie Eastall</t>
  </si>
  <si>
    <t>Tabitha Hawker</t>
  </si>
  <si>
    <t>Teah Swingler</t>
  </si>
  <si>
    <t>Yasmin Brooks</t>
  </si>
  <si>
    <t>Zoe Tuckwell</t>
  </si>
  <si>
    <t>Mitch Summers</t>
  </si>
  <si>
    <t>Russell Poulson</t>
  </si>
  <si>
    <t>LingXi Tang</t>
  </si>
  <si>
    <t>Owen Eckley</t>
  </si>
  <si>
    <t>Awwal Abubakar</t>
  </si>
  <si>
    <t>Anna Waite</t>
  </si>
  <si>
    <t>Beth McGill</t>
  </si>
  <si>
    <t>Chantelle Kent</t>
  </si>
  <si>
    <t>Christina Neocleous</t>
  </si>
  <si>
    <t>Claire Fitzpatrick</t>
  </si>
  <si>
    <t>Claudia Cackova</t>
  </si>
  <si>
    <t>Daisy Pepperell</t>
  </si>
  <si>
    <t>Daisy Royle</t>
  </si>
  <si>
    <t>Dalia Gala</t>
  </si>
  <si>
    <t>Eloise Halliwell</t>
  </si>
  <si>
    <t>Emily Cazalet</t>
  </si>
  <si>
    <t>Emily Ramsay</t>
  </si>
  <si>
    <t>Emma Fearon</t>
  </si>
  <si>
    <t>Emma Sellar</t>
  </si>
  <si>
    <t>Birstol</t>
  </si>
  <si>
    <t>Gabriela Cackova</t>
  </si>
  <si>
    <t>Gemma Hassell</t>
  </si>
  <si>
    <t>Grace Walsingham</t>
  </si>
  <si>
    <t>Jessica Matthews</t>
  </si>
  <si>
    <t>Kate Zhang</t>
  </si>
  <si>
    <t>Kirsten Coates</t>
  </si>
  <si>
    <t>Lara Mercer</t>
  </si>
  <si>
    <t>Liv Reid</t>
  </si>
  <si>
    <t>Lucy Preston</t>
  </si>
  <si>
    <t>Mariana Aguiar</t>
  </si>
  <si>
    <t>Matilda Johnston</t>
  </si>
  <si>
    <t>Megan King</t>
  </si>
  <si>
    <t>Molly Maguire</t>
  </si>
  <si>
    <t>Narice O’Brien</t>
  </si>
  <si>
    <t>Natasha Whitrow</t>
  </si>
  <si>
    <t>Nina Donnem</t>
  </si>
  <si>
    <t>Pietra Diaz</t>
  </si>
  <si>
    <t>Rachel Myers</t>
  </si>
  <si>
    <t>Renisha Dornelly-Greenidge</t>
  </si>
  <si>
    <t>Rowan Brown</t>
  </si>
  <si>
    <t>Sammy Alabi</t>
  </si>
  <si>
    <t>Sammy Barclay</t>
  </si>
  <si>
    <t>Stephanie Coombes</t>
  </si>
  <si>
    <t>Victoria Lewis</t>
  </si>
  <si>
    <t>Alice Feazey-Noble &amp; Philip Baker</t>
  </si>
  <si>
    <t>Alissa Mills &amp; Sian Emsley</t>
  </si>
  <si>
    <t>Bryony Robins &amp; Morayo Lasekan</t>
  </si>
  <si>
    <t>Elizabeth Payne &amp; Alice Feazey-Noble</t>
  </si>
  <si>
    <t>Emma Collier &amp; Morayo Lasekan</t>
  </si>
  <si>
    <t>India Marshall &amp; Michael Bridgeman</t>
  </si>
  <si>
    <t>Jonny Butler &amp; Kirsty Way</t>
  </si>
  <si>
    <t>Jonny Butler &amp; Laurie Maylor</t>
  </si>
  <si>
    <t>Kirsty Way &amp; Kat Allott</t>
  </si>
  <si>
    <t>Laurie Maylor &amp; Kirsty Way</t>
  </si>
  <si>
    <t>Mitchell Evans &amp; Natalya Helvadijan Williams</t>
  </si>
  <si>
    <t>Will Gower &amp; Andrew Taylor</t>
  </si>
  <si>
    <t>Chloe Logan &amp; Natasha Trotman</t>
  </si>
  <si>
    <t>Chloe Sampford &amp; Annabelle Drennan</t>
  </si>
  <si>
    <t>Edit Barbantan &amp; Holly Gutteridge</t>
  </si>
  <si>
    <t>Emma Reid &amp; Bailey Massey</t>
  </si>
  <si>
    <t>Georgie Wilson &amp; Emma Broadley</t>
  </si>
  <si>
    <t>Joanna Young &amp; Zoe Winn</t>
  </si>
  <si>
    <t>Nina Saini &amp; Luke Cowley</t>
  </si>
  <si>
    <t>Sammy Gatenby-Brown &amp; Lara Farrell</t>
  </si>
  <si>
    <t>Shaun Hylands &amp; Hadrien Develay</t>
  </si>
  <si>
    <t>Sophie Boardman &amp; Yemisi Onigbanjo</t>
  </si>
  <si>
    <t>Alice Bradshaw &amp; Erin Tait</t>
  </si>
  <si>
    <t>Anna Dickerson &amp; Daisy Cleary</t>
  </si>
  <si>
    <t>Bonnie Gordon &amp; Olivia Tonkin</t>
  </si>
  <si>
    <t>Cass Marshall &amp; Megan King</t>
  </si>
  <si>
    <t>Catrin Rathbone &amp; Ella Williams</t>
  </si>
  <si>
    <t>Chantelle Kent &amp; Eloise Halliwell</t>
  </si>
  <si>
    <t>Chloe Tay &amp; Yasmin Brooks</t>
  </si>
  <si>
    <t>Emma Bull &amp; Lucy Miller</t>
  </si>
  <si>
    <t>Emma Fearon &amp; Daisy Pepperell</t>
  </si>
  <si>
    <t>Emma Higgins &amp; Elizabeth Linskey</t>
  </si>
  <si>
    <t>Emma Sellar &amp; Nicole-Veronica Antoine</t>
  </si>
  <si>
    <t>Gabrielle Atkinson &amp; Emily Ramsey</t>
  </si>
  <si>
    <t>Gemma Patterson &amp; Bethan Hankin</t>
  </si>
  <si>
    <t>Harriet Smithers &amp; Cass Marshall</t>
  </si>
  <si>
    <t>Isobel Young &amp; Rebecca Cummins</t>
  </si>
  <si>
    <t>Kimberleigh Basham &amp; Daisy Royle</t>
  </si>
  <si>
    <t>Lilith Mannion &amp; Natasha Whitrow</t>
  </si>
  <si>
    <t>Mahalia Tzu Mae &amp; James Hollamby</t>
  </si>
  <si>
    <t>Matthew Arnull &amp; Louis Marsh</t>
  </si>
  <si>
    <t>Matthew Hancock &amp; Colm Appleby Kenny</t>
  </si>
  <si>
    <t>Nana Balsar &amp; Kim Ta</t>
  </si>
  <si>
    <t>Sam Goldsmith &amp; Kirsten Coates</t>
  </si>
  <si>
    <t>Sammy Barclay &amp; Kamila Bugno</t>
  </si>
  <si>
    <t>Steven Kainadas &amp; Aaron Dickinson</t>
  </si>
  <si>
    <t>Teah Swingler &amp; Zoe Tuckwell</t>
  </si>
  <si>
    <t>Tom Stephenson &amp; Hannah Rody</t>
  </si>
  <si>
    <t>Tristan Weir &amp; Gemma Abbott</t>
  </si>
  <si>
    <t>Michal Grabowiecki</t>
  </si>
  <si>
    <t>Matt Dominey</t>
  </si>
  <si>
    <t>Luke Hagerty</t>
  </si>
  <si>
    <t>Callum McClure</t>
  </si>
  <si>
    <t>William Morgan</t>
  </si>
  <si>
    <t>Rob William</t>
  </si>
  <si>
    <t>Jack Connolly</t>
  </si>
  <si>
    <t>Tom Elton</t>
  </si>
  <si>
    <t>Edoardo Marelli</t>
  </si>
  <si>
    <t>Marcus Henley</t>
  </si>
  <si>
    <t>James Twomey</t>
  </si>
  <si>
    <t>Liam Bigood</t>
  </si>
  <si>
    <t>Shang Yong</t>
  </si>
  <si>
    <t>Phillip Lynch</t>
  </si>
  <si>
    <t>London Met</t>
  </si>
  <si>
    <t>Jonny Butler &amp; Rachel Thomas</t>
  </si>
  <si>
    <t>Millie Chatfield &amp; Matt Burson</t>
  </si>
  <si>
    <t>Esther Haigh &amp; Abbie Godsall</t>
  </si>
  <si>
    <t>Dan Routledge &amp; Matt Burson</t>
  </si>
  <si>
    <t>Dan Routledge &amp; Millie Chatfield</t>
  </si>
  <si>
    <t>Sarah Dearman &amp; Esther Haigh</t>
  </si>
  <si>
    <t>Cerys Jones &amp; Megan Abbott</t>
  </si>
  <si>
    <t>Frankie Osborn &amp; Luke Dewe</t>
  </si>
  <si>
    <t>Jodi Grier &amp; Chelsey Lallem-Haylock</t>
  </si>
  <si>
    <t>Luke Hagerty &amp; Josh Morris-Hill</t>
  </si>
  <si>
    <t>Luke Hagerty &amp; Angus Stone</t>
  </si>
  <si>
    <t>Josh Morris-Hill &amp; Alissa Mills</t>
  </si>
  <si>
    <t>Emma Collier &amp; Chloe Pook</t>
  </si>
  <si>
    <t>Lance Stephens &amp; Michal Grabowiecki</t>
  </si>
  <si>
    <t>Callum McClure &amp; Will Fellows</t>
  </si>
  <si>
    <t>Tegan Archer &amp; Jessica Jacobs</t>
  </si>
  <si>
    <t>Jessica White &amp; Jamison McMakin</t>
  </si>
  <si>
    <t>Caitlin Evans &amp; Rob Williams</t>
  </si>
  <si>
    <t>George Armstrong &amp; Shaun Hylands</t>
  </si>
  <si>
    <t>Marie Lush &amp; Rosie O’Reilly</t>
  </si>
  <si>
    <t>Annabelle Maillot &amp; Ella Allford</t>
  </si>
  <si>
    <t>Chloe Logan &amp; Jake Pettman</t>
  </si>
  <si>
    <t>Natasha Trotman &amp; Callum McClure</t>
  </si>
  <si>
    <t>Jonty Sewell &amp; Annie Slater</t>
  </si>
  <si>
    <t>Hadrien Develay &amp; Shaun Hylands</t>
  </si>
  <si>
    <t>Evie Holden &amp; Joella Maddin</t>
  </si>
  <si>
    <t>Laura Thackary &amp; Caitlin Theocharis</t>
  </si>
  <si>
    <t>Caitlin Thompson &amp; Brad Plokker</t>
  </si>
  <si>
    <t>Katie Hargrave-Smith &amp; Victoria Lewis</t>
  </si>
  <si>
    <t>Lucy Hughes &amp; Mitch Summers</t>
  </si>
  <si>
    <t>Elise Vasek &amp; Marine Bogner</t>
  </si>
  <si>
    <t>Emily Ramsay &amp; Teah Swingler</t>
  </si>
  <si>
    <t>Lara Stembridge &amp; Sophie Eastall</t>
  </si>
  <si>
    <t>Jennifer Michail &amp; Molly McNicholl</t>
  </si>
  <si>
    <t>Kim Ta &amp; Elaina Harris</t>
  </si>
  <si>
    <t>Sydney Clark &amp; Megan King</t>
  </si>
  <si>
    <t>James Hollamby &amp; Sophie Towill</t>
  </si>
  <si>
    <t>Matthew Arnull &amp; Eva-Maria Ahrer</t>
  </si>
  <si>
    <t>Bethany Perry &amp; Lauren Luesley</t>
  </si>
  <si>
    <t>Rowan Brown &amp; Marios Koliandris</t>
  </si>
  <si>
    <t>Faye Frazer &amp; Corrah Rundle</t>
  </si>
  <si>
    <t>Erin Tait &amp; Laura Piscitelli</t>
  </si>
  <si>
    <t>Sophia D’Souza &amp; Maddy Shadrach</t>
  </si>
  <si>
    <t>Niall Madden-Blain &amp; Ellie Miners</t>
  </si>
  <si>
    <t>Lara Mercer &amp; Jessica Matthews</t>
  </si>
  <si>
    <t>Izzy Prodger &amp; Shivani Patel</t>
  </si>
  <si>
    <t>Luc Brown &amp; Daniel Allam</t>
  </si>
  <si>
    <t>Chris Geddie &amp; Ed Rivett</t>
  </si>
  <si>
    <t>Joseph Davies &amp; Louis March</t>
  </si>
  <si>
    <t>Izzie Kendell &amp; Harriet Smithers</t>
  </si>
  <si>
    <t>Hannah Bess &amp; Imogen Liang</t>
  </si>
  <si>
    <t>Olive Brown &amp; Laurel Hunt</t>
  </si>
  <si>
    <t>Yasmin McInally &amp; Henry Pugh</t>
  </si>
  <si>
    <t>Rachel Ward &amp; Chloe Fleming</t>
  </si>
  <si>
    <t>Lilith Mannion &amp; Sam Goldsmith</t>
  </si>
  <si>
    <t>Seren Richards &amp; Sarah Smith</t>
  </si>
  <si>
    <t>Chloe Barnes &amp; Bethany Walker</t>
  </si>
  <si>
    <t>Becky Perkins &amp; Ellie Dolan</t>
  </si>
  <si>
    <t>Alice Bradshaw &amp; Olivia Morris</t>
  </si>
  <si>
    <t>Lauren Petrie</t>
  </si>
  <si>
    <t>Jess Cliff</t>
  </si>
  <si>
    <t>Milli Brockwell</t>
  </si>
  <si>
    <t>Christina Linton</t>
  </si>
  <si>
    <t>Jasmin Hudd</t>
  </si>
  <si>
    <t>Callum Gregg</t>
  </si>
  <si>
    <t>Chloe Pook</t>
  </si>
  <si>
    <t>Joe Deevoy</t>
  </si>
  <si>
    <t>Brittany Mills</t>
  </si>
  <si>
    <t>Portia Angove</t>
  </si>
  <si>
    <t>Caitltin Thompson</t>
  </si>
  <si>
    <t>Esther McNeil</t>
  </si>
  <si>
    <t>Katy Roache</t>
  </si>
  <si>
    <t>Will Jones</t>
  </si>
  <si>
    <t>William Jeffries</t>
  </si>
  <si>
    <t>Emily Batson</t>
  </si>
  <si>
    <t>Francesca Tann</t>
  </si>
  <si>
    <t>Katie Hargrave-Smith</t>
  </si>
  <si>
    <t>Nicola Dobson</t>
  </si>
  <si>
    <t>Olive Bown</t>
  </si>
  <si>
    <t>Kathryn Baker</t>
  </si>
  <si>
    <t>Tash White</t>
  </si>
  <si>
    <t>Andrew Turner</t>
  </si>
  <si>
    <t>Kevin Chow</t>
  </si>
  <si>
    <t>Rhys Jones</t>
  </si>
  <si>
    <t>Antonia Atherley</t>
  </si>
  <si>
    <t>Beth Harvey</t>
  </si>
  <si>
    <t>Blue Berry</t>
  </si>
  <si>
    <t>Bryn Englehart</t>
  </si>
  <si>
    <t>Carys Muirhead</t>
  </si>
  <si>
    <t xml:space="preserve">Cerys Underdown </t>
  </si>
  <si>
    <t>Chase Butler</t>
  </si>
  <si>
    <t>Corrah Rundle</t>
  </si>
  <si>
    <t>Daniella Monger</t>
  </si>
  <si>
    <t>Hertfordshire</t>
  </si>
  <si>
    <t>Eleanor Bennet</t>
  </si>
  <si>
    <t>Eloise Finey</t>
  </si>
  <si>
    <t>Eloise Tanguy</t>
  </si>
  <si>
    <t>Emily Cartwright</t>
  </si>
  <si>
    <t>Emma Brooks</t>
  </si>
  <si>
    <t>Faye Frazer</t>
  </si>
  <si>
    <t>Georgina Brackley</t>
  </si>
  <si>
    <t>Hannah Bess</t>
  </si>
  <si>
    <t>Kia Mackenzie</t>
  </si>
  <si>
    <t>Lauren Bateman</t>
  </si>
  <si>
    <t>Lauren Hollis</t>
  </si>
  <si>
    <t>Rachel Ward</t>
  </si>
  <si>
    <t>Sarah Spencer</t>
  </si>
  <si>
    <t>Saskia Key</t>
  </si>
  <si>
    <t>Sophie Cooknell</t>
  </si>
  <si>
    <t>Sophie Farrell</t>
  </si>
  <si>
    <t>Chesten Worden</t>
  </si>
  <si>
    <t>Ellie Walsh</t>
  </si>
  <si>
    <t>Georgia De Vita</t>
  </si>
  <si>
    <t>Izzy Prodger</t>
  </si>
  <si>
    <t>Megan Jarvis</t>
  </si>
  <si>
    <t>Minnie Life</t>
  </si>
  <si>
    <t>Paula Flores</t>
  </si>
  <si>
    <t>Sarah Tinley</t>
  </si>
  <si>
    <t>Taylor Cordell</t>
  </si>
  <si>
    <t>Tereza Prochazkova</t>
  </si>
  <si>
    <t>Keiran Drury</t>
  </si>
  <si>
    <t>Niall Madden-Blain</t>
  </si>
  <si>
    <t>Tim Page</t>
  </si>
  <si>
    <t>Alissa Mills &amp; Aimee Bowers</t>
  </si>
  <si>
    <t>Andrew Taylor &amp; Lance Stephens</t>
  </si>
  <si>
    <t>Angus Stone &amp; Evie Anghileri</t>
  </si>
  <si>
    <t>Morayo Lasekan &amp; Chloe Pook</t>
  </si>
  <si>
    <t>Emma Collier &amp; Holly Gutteridge</t>
  </si>
  <si>
    <t>Callum Gregg &amp; Alysia Middleton</t>
  </si>
  <si>
    <t>Elizabeth Payne &amp; Jessica Jacobs</t>
  </si>
  <si>
    <t>Luke Hagerty &amp; Sophie Mathewson</t>
  </si>
  <si>
    <t>Millie Chatfield &amp; Rosslyn Haigh</t>
  </si>
  <si>
    <t>Portia Angove &amp; Josh Morris-Hill</t>
  </si>
  <si>
    <t>Ralph Edwards &amp; Matt Burson</t>
  </si>
  <si>
    <t>SS4</t>
  </si>
  <si>
    <t>SS5</t>
  </si>
  <si>
    <t>SS6</t>
  </si>
  <si>
    <t>SS7</t>
  </si>
  <si>
    <t>SS8</t>
  </si>
  <si>
    <t>SS9</t>
  </si>
  <si>
    <t>SS10</t>
  </si>
  <si>
    <t>SS11</t>
  </si>
  <si>
    <t>SS12</t>
  </si>
  <si>
    <t>SS13</t>
  </si>
  <si>
    <t>SS14</t>
  </si>
  <si>
    <t>SS15</t>
  </si>
  <si>
    <t>SS16</t>
  </si>
  <si>
    <t>SS17</t>
  </si>
  <si>
    <t>SS18</t>
  </si>
  <si>
    <t>Bailey Massey &amp; Matthew Arnull</t>
  </si>
  <si>
    <t>Luke Cowley &amp; Emily Conroy</t>
  </si>
  <si>
    <t>Francesca Tann &amp; Malindi Parker</t>
  </si>
  <si>
    <t>Jack Connelly &amp; Esther McNeil</t>
  </si>
  <si>
    <t>Katie Hargrave-Smith &amp; Lara Stembridge</t>
  </si>
  <si>
    <t>Kira Bowes &amp; Hannah Bonsall</t>
  </si>
  <si>
    <t>Ray Awcock &amp; Lara Farrell</t>
  </si>
  <si>
    <t>Caitlin Evans &amp; Edit Barbantan</t>
  </si>
  <si>
    <t>Ray Awcock &amp; Orla Drake</t>
  </si>
  <si>
    <t>Matthew Hancock &amp; Harriet Digweed</t>
  </si>
  <si>
    <t>William Jefferies &amp; William Morgan</t>
  </si>
  <si>
    <t>Kira Bowes &amp; Leah Hennessy</t>
  </si>
  <si>
    <t>Zoe Pemberton &amp; Abbie Klus</t>
  </si>
  <si>
    <t>Katy Joyce &amp; Nicola Dobson</t>
  </si>
  <si>
    <t>Adele Morley &amp; Lucy Miller</t>
  </si>
  <si>
    <t>Alice Bradshaw &amp; Anna Higgins</t>
  </si>
  <si>
    <t>Andrew Turner &amp; Louis Marsh</t>
  </si>
  <si>
    <t>Bryn Englehart &amp; Gina Zaveri</t>
  </si>
  <si>
    <t>Chantelle Kent &amp; Chloe Francis</t>
  </si>
  <si>
    <t>Chesten Worden &amp; Taylor Cordell</t>
  </si>
  <si>
    <t>Colm Appleby Kenny &amp; Georgia De Vita</t>
  </si>
  <si>
    <t>Eleanor Bennett &amp; Emma Brooks</t>
  </si>
  <si>
    <t>Emily Wilkinson &amp; Emily Ramsey</t>
  </si>
  <si>
    <t>Gemma Abbott &amp; Chloe Woodall</t>
  </si>
  <si>
    <t>Georgia Ray &amp; Olivia Tonkin</t>
  </si>
  <si>
    <t>Harrison Gallagher &amp; Emma Bookham</t>
  </si>
  <si>
    <t>Izzy Prodger &amp; Corrah Rundle</t>
  </si>
  <si>
    <t>Jenny Bugg-Millar &amp; Matilda Johnson</t>
  </si>
  <si>
    <t>Laurel Hunt &amp; Imogen Liang</t>
  </si>
  <si>
    <t>Lauren Parker &amp; Sophie Eastall</t>
  </si>
  <si>
    <t>Megan King &amp; Cass Marshall</t>
  </si>
  <si>
    <t>Nuala Pattenden &amp; Emily Benn</t>
  </si>
  <si>
    <t>Paula Flores &amp; Erin Maguinness</t>
  </si>
  <si>
    <t>Saskia Key &amp; Kevin Chow</t>
  </si>
  <si>
    <t>SS19</t>
  </si>
  <si>
    <t>SS20</t>
  </si>
  <si>
    <t>SS21</t>
  </si>
  <si>
    <t>SS22</t>
  </si>
  <si>
    <t>SS23</t>
  </si>
  <si>
    <t>SS24</t>
  </si>
  <si>
    <t>Laura Thackray</t>
  </si>
  <si>
    <t>Millie Moss</t>
  </si>
  <si>
    <t>Ceilidh Monaghan</t>
  </si>
  <si>
    <t>Maddie Cole</t>
  </si>
  <si>
    <t>Ruaridh Gosden</t>
  </si>
  <si>
    <t>Tim Buttanshaw</t>
  </si>
  <si>
    <t>Tom Stephenson</t>
  </si>
  <si>
    <t>Luis Maza</t>
  </si>
  <si>
    <t>William Collins</t>
  </si>
  <si>
    <t>Chris Geddie</t>
  </si>
  <si>
    <t>Amy Nelson</t>
  </si>
  <si>
    <t>Anna Tolley</t>
  </si>
  <si>
    <t>Becca Berry</t>
  </si>
  <si>
    <t>Chloe Barnes</t>
  </si>
  <si>
    <t>Chloe Francis</t>
  </si>
  <si>
    <t>Hannah Brown</t>
  </si>
  <si>
    <t>Jocelyn Row</t>
  </si>
  <si>
    <t>Lauren Luesley</t>
  </si>
  <si>
    <t>Lucy Hughes</t>
  </si>
  <si>
    <t>Lucy Sibbring</t>
  </si>
  <si>
    <t>Olivia Harrison</t>
  </si>
  <si>
    <t>Tabitha Webster</t>
  </si>
  <si>
    <t>92.25?</t>
  </si>
  <si>
    <t>Charlotte Hawrylak</t>
  </si>
  <si>
    <t>Devika Vijith</t>
  </si>
  <si>
    <t>Elise Vacek</t>
  </si>
  <si>
    <t>Jessica Fritz</t>
  </si>
  <si>
    <t>Lucy Wolford</t>
  </si>
  <si>
    <t>Sophie Towill</t>
  </si>
  <si>
    <t>Lauren Parker</t>
  </si>
  <si>
    <t>Molly Bates</t>
  </si>
  <si>
    <t>Zoe Watkins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</si>
</sst>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548235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203764"/>
        <bgColor indexed="64"/>
      </patternFill>
    </fill>
    <fill>
      <patternFill patternType="solid">
        <fgColor rgb="FF203764"/>
        <bgColor indexed="0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D7F32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/>
      <right style="thin">
        <color auto="1"/>
      </right>
      <top style="thin">
        <color auto="1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2">
    <xf numFmtId="0" fontId="0" fillId="0" borderId="0"/>
    <xf numFmtId="0" fontId="2" fillId="0" borderId="0"/>
  </cellStyleXfs>
  <cellXfs count="65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2" fontId="1" fillId="3" borderId="5" xfId="1" applyNumberFormat="1" applyFont="1" applyFill="1" applyBorder="1" applyAlignment="1">
      <alignment horizontal="center" vertical="center"/>
    </xf>
    <xf numFmtId="2" fontId="1" fillId="3" borderId="6" xfId="1" applyNumberFormat="1" applyFont="1" applyFill="1" applyBorder="1" applyAlignment="1">
      <alignment horizontal="center" vertical="center"/>
    </xf>
    <xf numFmtId="0" fontId="1" fillId="3" borderId="7" xfId="1" applyFont="1" applyFill="1" applyBorder="1" applyAlignment="1">
      <alignment horizontal="center" vertical="center"/>
    </xf>
    <xf numFmtId="0" fontId="1" fillId="3" borderId="8" xfId="1" applyFont="1" applyFill="1" applyBorder="1" applyAlignment="1">
      <alignment horizontal="center" vertical="center"/>
    </xf>
    <xf numFmtId="0" fontId="1" fillId="3" borderId="9" xfId="1" applyFont="1" applyFill="1" applyBorder="1" applyAlignment="1">
      <alignment horizontal="center" vertical="center"/>
    </xf>
    <xf numFmtId="0" fontId="1" fillId="3" borderId="10" xfId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2" fontId="1" fillId="3" borderId="11" xfId="1" applyNumberFormat="1" applyFont="1" applyFill="1" applyBorder="1" applyAlignment="1">
      <alignment horizontal="center" vertical="center"/>
    </xf>
    <xf numFmtId="2" fontId="1" fillId="3" borderId="12" xfId="1" applyNumberFormat="1" applyFont="1" applyFill="1" applyBorder="1" applyAlignment="1">
      <alignment horizontal="center" vertical="center"/>
    </xf>
    <xf numFmtId="0" fontId="3" fillId="0" borderId="13" xfId="0" applyFont="1" applyBorder="1" applyAlignment="1"/>
    <xf numFmtId="2" fontId="0" fillId="0" borderId="0" xfId="0" applyNumberFormat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0" borderId="13" xfId="0" applyFont="1" applyFill="1" applyBorder="1" applyAlignment="1"/>
    <xf numFmtId="0" fontId="4" fillId="0" borderId="13" xfId="0" applyFont="1" applyFill="1" applyBorder="1" applyAlignment="1"/>
    <xf numFmtId="2" fontId="5" fillId="4" borderId="0" xfId="0" applyNumberFormat="1" applyFont="1" applyFill="1" applyAlignment="1">
      <alignment horizontal="center"/>
    </xf>
    <xf numFmtId="0" fontId="4" fillId="0" borderId="13" xfId="0" applyFont="1" applyBorder="1" applyAlignment="1"/>
    <xf numFmtId="0" fontId="0" fillId="0" borderId="0" xfId="0" applyFill="1"/>
    <xf numFmtId="2" fontId="0" fillId="0" borderId="0" xfId="0" applyNumberFormat="1" applyFill="1" applyAlignment="1">
      <alignment horizontal="center"/>
    </xf>
    <xf numFmtId="0" fontId="3" fillId="0" borderId="14" xfId="0" applyFont="1" applyFill="1" applyBorder="1" applyAlignment="1"/>
    <xf numFmtId="0" fontId="3" fillId="0" borderId="0" xfId="0" applyFont="1" applyFill="1" applyBorder="1" applyAlignment="1"/>
    <xf numFmtId="0" fontId="0" fillId="0" borderId="0" xfId="0" applyFill="1" applyBorder="1"/>
    <xf numFmtId="2" fontId="0" fillId="0" borderId="0" xfId="0" applyNumberFormat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2" fontId="5" fillId="4" borderId="0" xfId="0" applyNumberFormat="1" applyFon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2" fontId="3" fillId="0" borderId="0" xfId="0" applyNumberFormat="1" applyFont="1" applyFill="1" applyBorder="1" applyAlignment="1">
      <alignment horizontal="center"/>
    </xf>
    <xf numFmtId="0" fontId="3" fillId="0" borderId="14" xfId="0" applyFont="1" applyBorder="1" applyAlignment="1"/>
    <xf numFmtId="0" fontId="4" fillId="5" borderId="13" xfId="0" applyFont="1" applyFill="1" applyBorder="1" applyAlignment="1"/>
    <xf numFmtId="2" fontId="5" fillId="5" borderId="0" xfId="0" applyNumberFormat="1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3" fillId="6" borderId="0" xfId="0" applyFont="1" applyFill="1" applyBorder="1" applyAlignment="1"/>
    <xf numFmtId="2" fontId="0" fillId="6" borderId="0" xfId="0" applyNumberFormat="1" applyFill="1" applyAlignment="1">
      <alignment horizontal="center"/>
    </xf>
    <xf numFmtId="0" fontId="5" fillId="0" borderId="13" xfId="0" applyFont="1" applyBorder="1" applyAlignment="1"/>
    <xf numFmtId="0" fontId="3" fillId="0" borderId="0" xfId="0" applyFont="1" applyBorder="1" applyAlignment="1"/>
    <xf numFmtId="2" fontId="5" fillId="0" borderId="0" xfId="0" applyNumberFormat="1" applyFont="1" applyFill="1" applyAlignment="1">
      <alignment horizontal="center"/>
    </xf>
    <xf numFmtId="2" fontId="5" fillId="0" borderId="0" xfId="0" applyNumberFormat="1" applyFont="1" applyFill="1" applyBorder="1" applyAlignment="1">
      <alignment horizontal="center"/>
    </xf>
    <xf numFmtId="0" fontId="3" fillId="0" borderId="13" xfId="0" applyFont="1" applyBorder="1"/>
    <xf numFmtId="0" fontId="4" fillId="0" borderId="13" xfId="0" applyFont="1" applyFill="1" applyBorder="1"/>
    <xf numFmtId="2" fontId="0" fillId="0" borderId="0" xfId="0" applyNumberFormat="1" applyFill="1" applyBorder="1" applyAlignment="1">
      <alignment horizontal="center"/>
    </xf>
    <xf numFmtId="0" fontId="3" fillId="0" borderId="13" xfId="0" applyFont="1" applyFill="1" applyBorder="1"/>
    <xf numFmtId="0" fontId="3" fillId="0" borderId="14" xfId="0" applyFont="1" applyBorder="1"/>
    <xf numFmtId="0" fontId="4" fillId="0" borderId="0" xfId="0" applyFont="1" applyFill="1" applyBorder="1"/>
    <xf numFmtId="2" fontId="0" fillId="0" borderId="0" xfId="0" applyNumberFormat="1" applyFill="1" applyAlignment="1">
      <alignment horizontal="center" vertical="center"/>
    </xf>
    <xf numFmtId="0" fontId="4" fillId="0" borderId="14" xfId="0" applyFont="1" applyFill="1" applyBorder="1"/>
    <xf numFmtId="2" fontId="0" fillId="0" borderId="0" xfId="0" applyNumberFormat="1"/>
    <xf numFmtId="0" fontId="4" fillId="0" borderId="14" xfId="0" applyFont="1" applyBorder="1" applyAlignment="1"/>
    <xf numFmtId="0" fontId="3" fillId="0" borderId="14" xfId="0" applyFont="1" applyFill="1" applyBorder="1"/>
    <xf numFmtId="2" fontId="0" fillId="0" borderId="0" xfId="0" applyNumberFormat="1" applyAlignment="1">
      <alignment horizontal="right" vertical="center"/>
    </xf>
    <xf numFmtId="0" fontId="3" fillId="7" borderId="13" xfId="0" applyFont="1" applyFill="1" applyBorder="1"/>
    <xf numFmtId="0" fontId="3" fillId="6" borderId="14" xfId="0" applyFont="1" applyFill="1" applyBorder="1" applyAlignment="1"/>
    <xf numFmtId="2" fontId="0" fillId="4" borderId="0" xfId="0" applyNumberFormat="1" applyFill="1" applyBorder="1" applyAlignment="1">
      <alignment horizontal="center"/>
    </xf>
    <xf numFmtId="2" fontId="0" fillId="4" borderId="0" xfId="0" applyNumberFormat="1" applyFill="1"/>
    <xf numFmtId="2" fontId="5" fillId="4" borderId="0" xfId="0" applyNumberFormat="1" applyFont="1" applyFill="1" applyAlignment="1"/>
    <xf numFmtId="2" fontId="5" fillId="0" borderId="0" xfId="0" applyNumberFormat="1" applyFont="1" applyFill="1" applyAlignment="1">
      <alignment horizontal="center" vertical="center"/>
    </xf>
    <xf numFmtId="0" fontId="7" fillId="0" borderId="13" xfId="0" applyFont="1" applyBorder="1"/>
    <xf numFmtId="0" fontId="3" fillId="6" borderId="13" xfId="0" applyFont="1" applyFill="1" applyBorder="1" applyAlignment="1"/>
    <xf numFmtId="0" fontId="3" fillId="0" borderId="0" xfId="0" applyFont="1" applyFill="1" applyBorder="1"/>
    <xf numFmtId="0" fontId="3" fillId="0" borderId="0" xfId="0" applyFont="1" applyBorder="1"/>
    <xf numFmtId="0" fontId="0" fillId="0" borderId="0" xfId="0" applyAlignment="1">
      <alignment horizontal="center"/>
    </xf>
  </cellXfs>
  <cellStyles count="2">
    <cellStyle name="Normal" xfId="0" builtinId="0"/>
    <cellStyle name="Normal 3" xfId="1" xr:uid="{8A27024B-334F-47D9-9F81-40478D6C5A0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AC212-BF66-4EB1-8424-751353B53E96}">
  <sheetPr codeName="Sheet1"/>
  <dimension ref="A1:J8"/>
  <sheetViews>
    <sheetView tabSelected="1" workbookViewId="0">
      <selection activeCell="I14" sqref="I14"/>
    </sheetView>
  </sheetViews>
  <sheetFormatPr defaultRowHeight="14.4" x14ac:dyDescent="0.3"/>
  <cols>
    <col min="2" max="2" width="14.44140625" bestFit="1" customWidth="1"/>
    <col min="3" max="3" width="12.109375" bestFit="1" customWidth="1"/>
    <col min="4" max="4" width="12.44140625" bestFit="1" customWidth="1"/>
    <col min="5" max="7" width="9.88671875" bestFit="1" customWidth="1"/>
    <col min="8" max="8" width="10.88671875" bestFit="1" customWidth="1"/>
    <col min="9" max="9" width="12.44140625" bestFit="1" customWidth="1"/>
  </cols>
  <sheetData>
    <row r="1" spans="1:10" x14ac:dyDescent="0.3">
      <c r="A1" s="1"/>
      <c r="B1" s="1"/>
      <c r="C1" s="1"/>
      <c r="D1" s="2"/>
      <c r="E1" s="10" t="s">
        <v>1</v>
      </c>
      <c r="F1" s="10" t="s">
        <v>4</v>
      </c>
      <c r="G1" s="10" t="s">
        <v>2</v>
      </c>
      <c r="H1" s="11" t="s">
        <v>12</v>
      </c>
      <c r="I1" s="10" t="s">
        <v>3</v>
      </c>
      <c r="J1" s="9" t="s">
        <v>6</v>
      </c>
    </row>
    <row r="2" spans="1:10" x14ac:dyDescent="0.3">
      <c r="A2" s="3" t="s">
        <v>379</v>
      </c>
      <c r="B2" s="3" t="s">
        <v>7</v>
      </c>
      <c r="C2" s="4" t="s">
        <v>8</v>
      </c>
      <c r="D2" s="4" t="s">
        <v>0</v>
      </c>
      <c r="E2" s="5" t="s">
        <v>9</v>
      </c>
      <c r="F2" s="6" t="s">
        <v>9</v>
      </c>
      <c r="G2" s="7" t="s">
        <v>9</v>
      </c>
      <c r="H2" s="7" t="s">
        <v>9</v>
      </c>
      <c r="I2" s="8" t="s">
        <v>9</v>
      </c>
      <c r="J2" s="8" t="s">
        <v>9</v>
      </c>
    </row>
    <row r="3" spans="1:10" x14ac:dyDescent="0.3">
      <c r="A3" s="64">
        <f>RANK(J3,$J$3:$J$7)</f>
        <v>1</v>
      </c>
      <c r="B3" s="17" t="s">
        <v>377</v>
      </c>
      <c r="C3" s="17" t="s">
        <v>4</v>
      </c>
      <c r="D3" s="14" t="s">
        <v>378</v>
      </c>
      <c r="E3" s="15">
        <v>100</v>
      </c>
      <c r="F3" s="15">
        <v>100</v>
      </c>
      <c r="G3" s="22">
        <v>0</v>
      </c>
      <c r="H3" s="15">
        <v>0</v>
      </c>
      <c r="I3" s="50"/>
      <c r="J3" s="50">
        <f>LARGE(E3:I3,1)+LARGE(E3:I3,2)+LARGE(E3:I3,3)</f>
        <v>200</v>
      </c>
    </row>
    <row r="4" spans="1:10" x14ac:dyDescent="0.3">
      <c r="A4" s="64">
        <f>RANK(J4,$J$3:$J$7)</f>
        <v>2</v>
      </c>
      <c r="B4" s="45" t="s">
        <v>713</v>
      </c>
      <c r="C4" s="45" t="s">
        <v>456</v>
      </c>
      <c r="D4" s="14" t="s">
        <v>378</v>
      </c>
      <c r="E4" s="15">
        <v>0</v>
      </c>
      <c r="F4" s="15">
        <v>0</v>
      </c>
      <c r="G4" s="22">
        <v>99.39</v>
      </c>
      <c r="H4" s="15">
        <v>90.07</v>
      </c>
      <c r="I4" s="50"/>
      <c r="J4" s="50">
        <f>LARGE(E4:I4,1)+LARGE(E4:I4,2)+LARGE(E4:I4,3)</f>
        <v>189.45999999999998</v>
      </c>
    </row>
    <row r="5" spans="1:10" x14ac:dyDescent="0.3">
      <c r="A5" s="64">
        <f>RANK(J5,$J$3:$J$7)</f>
        <v>3</v>
      </c>
      <c r="B5" s="45" t="s">
        <v>157</v>
      </c>
      <c r="C5" s="45" t="s">
        <v>111</v>
      </c>
      <c r="D5" s="14" t="s">
        <v>378</v>
      </c>
      <c r="E5" s="15">
        <v>0</v>
      </c>
      <c r="F5" s="15">
        <v>0</v>
      </c>
      <c r="G5" s="22">
        <v>0</v>
      </c>
      <c r="H5" s="15">
        <v>100</v>
      </c>
      <c r="I5" s="50"/>
      <c r="J5" s="50">
        <f>LARGE(E5:I5,1)+LARGE(E5:I5,2)+LARGE(E5:I5,3)</f>
        <v>100</v>
      </c>
    </row>
    <row r="6" spans="1:10" x14ac:dyDescent="0.3">
      <c r="A6" s="64">
        <f>RANK(J6,$J$3:$J$7)</f>
        <v>3</v>
      </c>
      <c r="B6" s="42" t="s">
        <v>714</v>
      </c>
      <c r="C6" s="42" t="s">
        <v>245</v>
      </c>
      <c r="D6" s="14" t="s">
        <v>378</v>
      </c>
      <c r="E6" s="15">
        <v>0</v>
      </c>
      <c r="F6" s="15">
        <v>0</v>
      </c>
      <c r="G6" s="22">
        <v>100</v>
      </c>
      <c r="H6" s="15">
        <v>0</v>
      </c>
      <c r="I6" s="50"/>
      <c r="J6" s="50">
        <f>LARGE(E6:I6,1)+LARGE(E6:I6,2)+LARGE(E6:I6,3)</f>
        <v>100</v>
      </c>
    </row>
    <row r="7" spans="1:10" x14ac:dyDescent="0.3">
      <c r="A7" s="64">
        <f>RANK(J7,$J$3:$J$7)</f>
        <v>5</v>
      </c>
      <c r="B7" s="45" t="s">
        <v>263</v>
      </c>
      <c r="C7" s="45" t="s">
        <v>111</v>
      </c>
      <c r="D7" s="14" t="s">
        <v>378</v>
      </c>
      <c r="E7" s="15">
        <v>0</v>
      </c>
      <c r="F7" s="15">
        <v>0</v>
      </c>
      <c r="G7" s="22">
        <v>0</v>
      </c>
      <c r="H7" s="15">
        <v>97.05</v>
      </c>
      <c r="I7" s="50"/>
      <c r="J7" s="50">
        <f>LARGE(E7:I7,1)+LARGE(E7:I7,2)+LARGE(E7:I7,3)</f>
        <v>97.05</v>
      </c>
    </row>
    <row r="8" spans="1:10" x14ac:dyDescent="0.3">
      <c r="J8" s="50"/>
    </row>
  </sheetData>
  <sortState xmlns:xlrd2="http://schemas.microsoft.com/office/spreadsheetml/2017/richdata2" ref="A3:J7">
    <sortCondition ref="A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B3C3B-CDA1-41FA-8C35-4C94B8031A98}">
  <sheetPr codeName="Sheet2"/>
  <dimension ref="A1:J152"/>
  <sheetViews>
    <sheetView zoomScale="45" workbookViewId="0">
      <selection activeCell="G24" sqref="G24"/>
    </sheetView>
  </sheetViews>
  <sheetFormatPr defaultRowHeight="14.4" x14ac:dyDescent="0.3"/>
  <cols>
    <col min="2" max="2" width="28.44140625" bestFit="1" customWidth="1"/>
    <col min="3" max="3" width="16.33203125" bestFit="1" customWidth="1"/>
    <col min="4" max="4" width="15.5546875" bestFit="1" customWidth="1"/>
    <col min="5" max="7" width="13.88671875" bestFit="1" customWidth="1"/>
    <col min="8" max="8" width="14.5546875" bestFit="1" customWidth="1"/>
    <col min="9" max="9" width="16.88671875" bestFit="1" customWidth="1"/>
    <col min="10" max="10" width="13.88671875" bestFit="1" customWidth="1"/>
  </cols>
  <sheetData>
    <row r="1" spans="1:10" x14ac:dyDescent="0.3">
      <c r="A1" s="1"/>
      <c r="B1" s="1"/>
      <c r="C1" s="1"/>
      <c r="D1" s="2"/>
      <c r="E1" s="10" t="s">
        <v>1</v>
      </c>
      <c r="F1" s="10" t="s">
        <v>4</v>
      </c>
      <c r="G1" s="10" t="s">
        <v>2</v>
      </c>
      <c r="H1" s="11" t="s">
        <v>12</v>
      </c>
      <c r="I1" s="10" t="s">
        <v>3</v>
      </c>
      <c r="J1" s="9" t="s">
        <v>6</v>
      </c>
    </row>
    <row r="2" spans="1:10" x14ac:dyDescent="0.3">
      <c r="A2" s="3" t="s">
        <v>379</v>
      </c>
      <c r="B2" s="3" t="s">
        <v>7</v>
      </c>
      <c r="C2" s="4" t="s">
        <v>8</v>
      </c>
      <c r="D2" s="4" t="s">
        <v>0</v>
      </c>
      <c r="E2" s="5" t="s">
        <v>9</v>
      </c>
      <c r="F2" s="6" t="s">
        <v>9</v>
      </c>
      <c r="G2" s="7" t="s">
        <v>9</v>
      </c>
      <c r="H2" s="7" t="s">
        <v>9</v>
      </c>
      <c r="I2" s="8" t="s">
        <v>9</v>
      </c>
      <c r="J2" s="8" t="s">
        <v>9</v>
      </c>
    </row>
    <row r="3" spans="1:10" x14ac:dyDescent="0.3">
      <c r="A3">
        <f t="shared" ref="A3:A26" si="0">RANK(J3,$J$3:$J$26)</f>
        <v>1</v>
      </c>
      <c r="B3" s="17" t="s">
        <v>317</v>
      </c>
      <c r="C3" s="17" t="s">
        <v>19</v>
      </c>
      <c r="D3" s="14" t="s">
        <v>315</v>
      </c>
      <c r="E3" s="15">
        <v>94.265593561368192</v>
      </c>
      <c r="F3" s="15">
        <v>94.03</v>
      </c>
      <c r="G3" s="30">
        <v>100</v>
      </c>
      <c r="H3" s="15">
        <v>100</v>
      </c>
      <c r="I3" s="15"/>
      <c r="J3" s="15">
        <f t="shared" ref="J3:J26" si="1">LARGE(E3:I3,1)+LARGE(E3:I3,2)+LARGE(E3:I3,3)</f>
        <v>294.26559356136818</v>
      </c>
    </row>
    <row r="4" spans="1:10" x14ac:dyDescent="0.3">
      <c r="A4">
        <f t="shared" si="0"/>
        <v>2</v>
      </c>
      <c r="B4" s="17" t="s">
        <v>527</v>
      </c>
      <c r="C4" s="17" t="s">
        <v>495</v>
      </c>
      <c r="D4" s="17" t="s">
        <v>315</v>
      </c>
      <c r="E4" s="15">
        <v>0</v>
      </c>
      <c r="F4" s="15">
        <v>91.52</v>
      </c>
      <c r="G4" s="15">
        <v>89.14</v>
      </c>
      <c r="H4" s="15">
        <v>97.43</v>
      </c>
      <c r="I4" s="15"/>
      <c r="J4" s="15">
        <f t="shared" si="1"/>
        <v>278.08999999999997</v>
      </c>
    </row>
    <row r="5" spans="1:10" x14ac:dyDescent="0.3">
      <c r="A5">
        <f t="shared" si="0"/>
        <v>3</v>
      </c>
      <c r="B5" s="17" t="s">
        <v>314</v>
      </c>
      <c r="C5" s="17" t="s">
        <v>46</v>
      </c>
      <c r="D5" s="14" t="s">
        <v>315</v>
      </c>
      <c r="E5" s="15">
        <v>100</v>
      </c>
      <c r="F5" s="30">
        <v>100</v>
      </c>
      <c r="G5" s="15">
        <v>0</v>
      </c>
      <c r="H5" s="15">
        <v>0</v>
      </c>
      <c r="I5" s="15"/>
      <c r="J5" s="15">
        <f t="shared" si="1"/>
        <v>200</v>
      </c>
    </row>
    <row r="6" spans="1:10" x14ac:dyDescent="0.3">
      <c r="A6">
        <f t="shared" si="0"/>
        <v>4</v>
      </c>
      <c r="B6" s="14" t="s">
        <v>318</v>
      </c>
      <c r="C6" s="14" t="s">
        <v>4</v>
      </c>
      <c r="D6" s="14" t="s">
        <v>315</v>
      </c>
      <c r="E6" s="15">
        <v>93.963782696177063</v>
      </c>
      <c r="F6" s="15">
        <v>93.45</v>
      </c>
      <c r="G6" s="15">
        <v>0</v>
      </c>
      <c r="H6" s="15">
        <v>0</v>
      </c>
      <c r="I6" s="15"/>
      <c r="J6" s="15">
        <f t="shared" si="1"/>
        <v>187.41378269617707</v>
      </c>
    </row>
    <row r="7" spans="1:10" x14ac:dyDescent="0.3">
      <c r="A7">
        <f t="shared" si="0"/>
        <v>5</v>
      </c>
      <c r="B7" s="14" t="s">
        <v>322</v>
      </c>
      <c r="C7" s="14" t="s">
        <v>46</v>
      </c>
      <c r="D7" s="14" t="s">
        <v>315</v>
      </c>
      <c r="E7" s="15">
        <v>78.772635814889341</v>
      </c>
      <c r="F7" s="15">
        <v>0</v>
      </c>
      <c r="G7" s="15">
        <v>0</v>
      </c>
      <c r="H7" s="15">
        <v>91.49</v>
      </c>
      <c r="I7" s="15"/>
      <c r="J7" s="15">
        <f t="shared" si="1"/>
        <v>170.26263581488934</v>
      </c>
    </row>
    <row r="8" spans="1:10" x14ac:dyDescent="0.3">
      <c r="A8">
        <f t="shared" si="0"/>
        <v>6</v>
      </c>
      <c r="B8" s="17" t="s">
        <v>629</v>
      </c>
      <c r="C8" s="17" t="s">
        <v>245</v>
      </c>
      <c r="D8" s="17" t="s">
        <v>315</v>
      </c>
      <c r="E8" s="15">
        <v>0</v>
      </c>
      <c r="F8" s="15">
        <v>0</v>
      </c>
      <c r="G8" s="30">
        <v>98.1</v>
      </c>
      <c r="H8" s="15">
        <v>0</v>
      </c>
      <c r="J8" s="15">
        <f t="shared" si="1"/>
        <v>98.1</v>
      </c>
    </row>
    <row r="9" spans="1:10" x14ac:dyDescent="0.3">
      <c r="A9">
        <f t="shared" si="0"/>
        <v>7</v>
      </c>
      <c r="B9" s="17" t="s">
        <v>526</v>
      </c>
      <c r="C9" s="17" t="s">
        <v>61</v>
      </c>
      <c r="D9" s="17" t="s">
        <v>315</v>
      </c>
      <c r="E9" s="15">
        <v>0</v>
      </c>
      <c r="F9" s="15">
        <v>97.21</v>
      </c>
      <c r="G9" s="15">
        <v>0</v>
      </c>
      <c r="H9" s="15">
        <v>0</v>
      </c>
      <c r="I9" s="15"/>
      <c r="J9" s="15">
        <f t="shared" si="1"/>
        <v>97.21</v>
      </c>
    </row>
    <row r="10" spans="1:10" x14ac:dyDescent="0.3">
      <c r="A10">
        <f t="shared" si="0"/>
        <v>8</v>
      </c>
      <c r="B10" s="17" t="s">
        <v>715</v>
      </c>
      <c r="C10" s="17" t="s">
        <v>5</v>
      </c>
      <c r="D10" s="17" t="s">
        <v>315</v>
      </c>
      <c r="E10" s="15">
        <v>0</v>
      </c>
      <c r="F10" s="15">
        <v>0</v>
      </c>
      <c r="G10" s="15">
        <v>0</v>
      </c>
      <c r="H10" s="15">
        <v>96.83</v>
      </c>
      <c r="I10" s="15"/>
      <c r="J10" s="15">
        <f t="shared" si="1"/>
        <v>96.83</v>
      </c>
    </row>
    <row r="11" spans="1:10" x14ac:dyDescent="0.3">
      <c r="A11">
        <f t="shared" si="0"/>
        <v>9</v>
      </c>
      <c r="B11" s="17" t="s">
        <v>716</v>
      </c>
      <c r="C11" s="17" t="s">
        <v>19</v>
      </c>
      <c r="D11" s="17" t="s">
        <v>315</v>
      </c>
      <c r="E11" s="15">
        <v>0</v>
      </c>
      <c r="F11" s="15">
        <v>0</v>
      </c>
      <c r="G11" s="15">
        <v>0</v>
      </c>
      <c r="H11" s="15">
        <v>96.24</v>
      </c>
      <c r="I11" s="15"/>
      <c r="J11" s="15">
        <f t="shared" si="1"/>
        <v>96.24</v>
      </c>
    </row>
    <row r="12" spans="1:10" x14ac:dyDescent="0.3">
      <c r="A12">
        <f t="shared" si="0"/>
        <v>10</v>
      </c>
      <c r="B12" s="17" t="s">
        <v>316</v>
      </c>
      <c r="C12" s="17" t="s">
        <v>5</v>
      </c>
      <c r="D12" s="14" t="s">
        <v>315</v>
      </c>
      <c r="E12" s="15">
        <v>95.472837022132794</v>
      </c>
      <c r="F12" s="15">
        <v>0</v>
      </c>
      <c r="G12" s="15">
        <v>0</v>
      </c>
      <c r="H12" s="15">
        <v>0</v>
      </c>
      <c r="I12" s="15"/>
      <c r="J12" s="15">
        <f t="shared" si="1"/>
        <v>95.472837022132794</v>
      </c>
    </row>
    <row r="13" spans="1:10" x14ac:dyDescent="0.3">
      <c r="A13">
        <f t="shared" si="0"/>
        <v>11</v>
      </c>
      <c r="B13" s="23" t="s">
        <v>632</v>
      </c>
      <c r="C13" s="23" t="s">
        <v>633</v>
      </c>
      <c r="D13" s="23" t="s">
        <v>315</v>
      </c>
      <c r="E13" s="15">
        <v>0</v>
      </c>
      <c r="F13" s="15">
        <v>0</v>
      </c>
      <c r="G13" s="15">
        <v>0</v>
      </c>
      <c r="H13" s="15">
        <v>94.46</v>
      </c>
      <c r="I13" s="15"/>
      <c r="J13" s="15">
        <f t="shared" si="1"/>
        <v>94.46</v>
      </c>
    </row>
    <row r="14" spans="1:10" x14ac:dyDescent="0.3">
      <c r="A14">
        <f t="shared" si="0"/>
        <v>12</v>
      </c>
      <c r="B14" s="55" t="s">
        <v>319</v>
      </c>
      <c r="C14" s="55" t="s">
        <v>2</v>
      </c>
      <c r="D14" s="55" t="s">
        <v>315</v>
      </c>
      <c r="E14" s="37">
        <v>92.152917505030175</v>
      </c>
      <c r="F14" s="37">
        <v>0</v>
      </c>
      <c r="G14" s="15">
        <v>0</v>
      </c>
      <c r="H14" s="15">
        <v>0</v>
      </c>
      <c r="I14" s="15"/>
      <c r="J14" s="15">
        <f t="shared" si="1"/>
        <v>92.152917505030175</v>
      </c>
    </row>
    <row r="15" spans="1:10" x14ac:dyDescent="0.3">
      <c r="A15">
        <f t="shared" si="0"/>
        <v>13</v>
      </c>
      <c r="B15" s="24" t="s">
        <v>630</v>
      </c>
      <c r="C15" s="24" t="s">
        <v>495</v>
      </c>
      <c r="D15" s="24" t="s">
        <v>315</v>
      </c>
      <c r="E15" s="15">
        <v>0</v>
      </c>
      <c r="F15" s="15">
        <v>0</v>
      </c>
      <c r="G15" s="15">
        <v>91.43</v>
      </c>
      <c r="H15" s="15">
        <v>0</v>
      </c>
      <c r="J15" s="15">
        <f t="shared" si="1"/>
        <v>91.43</v>
      </c>
    </row>
    <row r="16" spans="1:10" x14ac:dyDescent="0.3">
      <c r="A16">
        <f t="shared" si="0"/>
        <v>14</v>
      </c>
      <c r="B16" s="24" t="s">
        <v>528</v>
      </c>
      <c r="C16" s="24" t="s">
        <v>54</v>
      </c>
      <c r="D16" s="24" t="s">
        <v>315</v>
      </c>
      <c r="E16" s="15">
        <v>0</v>
      </c>
      <c r="F16" s="15">
        <v>90.94</v>
      </c>
      <c r="G16" s="15">
        <v>0</v>
      </c>
      <c r="H16" s="15">
        <v>0</v>
      </c>
      <c r="I16" s="15"/>
      <c r="J16" s="15">
        <f t="shared" si="1"/>
        <v>90.94</v>
      </c>
    </row>
    <row r="17" spans="1:10" x14ac:dyDescent="0.3">
      <c r="A17">
        <f t="shared" si="0"/>
        <v>15</v>
      </c>
      <c r="B17" s="24" t="s">
        <v>529</v>
      </c>
      <c r="C17" s="24" t="s">
        <v>14</v>
      </c>
      <c r="D17" s="24" t="s">
        <v>315</v>
      </c>
      <c r="E17" s="15">
        <v>0</v>
      </c>
      <c r="F17" s="15">
        <v>0</v>
      </c>
      <c r="G17" s="15">
        <v>88.95</v>
      </c>
      <c r="H17" s="15">
        <v>0</v>
      </c>
      <c r="I17" s="15"/>
      <c r="J17" s="15">
        <f t="shared" si="1"/>
        <v>88.95</v>
      </c>
    </row>
    <row r="18" spans="1:10" x14ac:dyDescent="0.3">
      <c r="A18">
        <f t="shared" si="0"/>
        <v>16</v>
      </c>
      <c r="B18" s="39" t="s">
        <v>320</v>
      </c>
      <c r="C18" s="39" t="s">
        <v>5</v>
      </c>
      <c r="D18" s="39" t="s">
        <v>315</v>
      </c>
      <c r="E18" s="15">
        <v>87.625754527162968</v>
      </c>
      <c r="F18" s="15">
        <v>0</v>
      </c>
      <c r="G18" s="15">
        <v>0</v>
      </c>
      <c r="H18" s="15">
        <v>0</v>
      </c>
      <c r="I18" s="15"/>
      <c r="J18" s="15">
        <f t="shared" si="1"/>
        <v>87.625754527162968</v>
      </c>
    </row>
    <row r="19" spans="1:10" x14ac:dyDescent="0.3">
      <c r="A19">
        <f t="shared" si="0"/>
        <v>17</v>
      </c>
      <c r="B19" s="39" t="s">
        <v>321</v>
      </c>
      <c r="C19" s="39" t="s">
        <v>1</v>
      </c>
      <c r="D19" s="39" t="s">
        <v>315</v>
      </c>
      <c r="E19" s="15">
        <v>86.82092555331991</v>
      </c>
      <c r="F19" s="15">
        <v>0</v>
      </c>
      <c r="G19" s="15">
        <v>0</v>
      </c>
      <c r="H19" s="15">
        <v>0</v>
      </c>
      <c r="I19" s="15"/>
      <c r="J19" s="15">
        <f t="shared" si="1"/>
        <v>86.82092555331991</v>
      </c>
    </row>
    <row r="20" spans="1:10" x14ac:dyDescent="0.3">
      <c r="A20">
        <f t="shared" si="0"/>
        <v>18</v>
      </c>
      <c r="B20" s="24" t="s">
        <v>254</v>
      </c>
      <c r="C20" s="24" t="s">
        <v>4</v>
      </c>
      <c r="D20" s="24" t="s">
        <v>315</v>
      </c>
      <c r="E20" s="15">
        <v>0</v>
      </c>
      <c r="F20" s="15">
        <v>78.709999999999994</v>
      </c>
      <c r="G20" s="15">
        <v>0</v>
      </c>
      <c r="H20" s="15">
        <v>0</v>
      </c>
      <c r="I20" s="15"/>
      <c r="J20" s="15">
        <f t="shared" si="1"/>
        <v>78.709999999999994</v>
      </c>
    </row>
    <row r="21" spans="1:10" x14ac:dyDescent="0.3">
      <c r="A21">
        <f t="shared" si="0"/>
        <v>19</v>
      </c>
      <c r="B21" s="39" t="s">
        <v>323</v>
      </c>
      <c r="C21" s="39" t="s">
        <v>14</v>
      </c>
      <c r="D21" s="39" t="s">
        <v>315</v>
      </c>
      <c r="E21" s="15">
        <v>70.422535211267601</v>
      </c>
      <c r="F21" s="15">
        <v>0</v>
      </c>
      <c r="G21" s="15">
        <v>0</v>
      </c>
      <c r="H21" s="15">
        <v>0</v>
      </c>
      <c r="I21" s="15"/>
      <c r="J21" s="15">
        <f t="shared" si="1"/>
        <v>70.422535211267601</v>
      </c>
    </row>
    <row r="22" spans="1:10" x14ac:dyDescent="0.3">
      <c r="A22">
        <f t="shared" si="0"/>
        <v>20</v>
      </c>
      <c r="B22" s="24" t="s">
        <v>631</v>
      </c>
      <c r="C22" s="24" t="s">
        <v>126</v>
      </c>
      <c r="D22" s="24" t="s">
        <v>315</v>
      </c>
      <c r="E22" s="15">
        <v>0</v>
      </c>
      <c r="F22" s="15">
        <v>0</v>
      </c>
      <c r="G22" s="15">
        <v>31.24</v>
      </c>
      <c r="H22" s="15">
        <v>0</v>
      </c>
      <c r="J22" s="15">
        <f t="shared" si="1"/>
        <v>31.24</v>
      </c>
    </row>
    <row r="23" spans="1:10" x14ac:dyDescent="0.3">
      <c r="A23">
        <f t="shared" si="0"/>
        <v>21</v>
      </c>
      <c r="B23" s="36" t="s">
        <v>530</v>
      </c>
      <c r="C23" s="36" t="s">
        <v>2</v>
      </c>
      <c r="D23" s="36" t="s">
        <v>315</v>
      </c>
      <c r="E23" s="37">
        <v>0</v>
      </c>
      <c r="F23" s="37">
        <v>0</v>
      </c>
      <c r="G23" s="15">
        <v>0</v>
      </c>
      <c r="H23" s="15">
        <v>0</v>
      </c>
      <c r="I23" s="15"/>
      <c r="J23" s="15">
        <f t="shared" si="1"/>
        <v>0</v>
      </c>
    </row>
    <row r="24" spans="1:10" x14ac:dyDescent="0.3">
      <c r="A24">
        <f t="shared" si="0"/>
        <v>21</v>
      </c>
      <c r="B24" s="39" t="s">
        <v>324</v>
      </c>
      <c r="C24" s="39" t="s">
        <v>131</v>
      </c>
      <c r="D24" s="39" t="s">
        <v>315</v>
      </c>
      <c r="E24" s="15">
        <v>0</v>
      </c>
      <c r="F24" s="15">
        <v>0</v>
      </c>
      <c r="G24" s="15">
        <v>0</v>
      </c>
      <c r="H24" s="15">
        <v>0</v>
      </c>
      <c r="I24" s="15"/>
      <c r="J24" s="15">
        <f t="shared" si="1"/>
        <v>0</v>
      </c>
    </row>
    <row r="25" spans="1:10" x14ac:dyDescent="0.3">
      <c r="A25">
        <f t="shared" si="0"/>
        <v>21</v>
      </c>
      <c r="B25" s="24" t="s">
        <v>632</v>
      </c>
      <c r="C25" s="24" t="s">
        <v>633</v>
      </c>
      <c r="D25" s="24" t="s">
        <v>315</v>
      </c>
      <c r="E25" s="15">
        <v>0</v>
      </c>
      <c r="F25" s="15">
        <v>0</v>
      </c>
      <c r="G25" s="15">
        <v>0</v>
      </c>
      <c r="H25" s="15">
        <v>0</v>
      </c>
      <c r="J25" s="15">
        <f t="shared" si="1"/>
        <v>0</v>
      </c>
    </row>
    <row r="26" spans="1:10" x14ac:dyDescent="0.3">
      <c r="A26">
        <f t="shared" si="0"/>
        <v>21</v>
      </c>
      <c r="B26" s="24" t="s">
        <v>717</v>
      </c>
      <c r="C26" s="24" t="s">
        <v>59</v>
      </c>
      <c r="D26" s="24" t="s">
        <v>315</v>
      </c>
      <c r="E26" s="15">
        <v>0</v>
      </c>
      <c r="F26" s="15">
        <v>0</v>
      </c>
      <c r="G26" s="15">
        <v>0</v>
      </c>
      <c r="H26" s="15">
        <v>0</v>
      </c>
      <c r="I26" s="15"/>
      <c r="J26" s="15">
        <f t="shared" si="1"/>
        <v>0</v>
      </c>
    </row>
    <row r="27" spans="1:10" x14ac:dyDescent="0.3">
      <c r="B27" s="24"/>
      <c r="C27" s="24"/>
      <c r="D27" s="24"/>
      <c r="E27" s="15"/>
      <c r="F27" s="15"/>
      <c r="G27" s="15"/>
      <c r="H27" s="15"/>
      <c r="I27" s="15"/>
      <c r="J27" s="15"/>
    </row>
    <row r="28" spans="1:10" x14ac:dyDescent="0.3">
      <c r="B28" s="24"/>
      <c r="C28" s="24"/>
      <c r="D28" s="24"/>
      <c r="E28" s="15"/>
      <c r="F28" s="15"/>
      <c r="G28" s="15"/>
      <c r="H28" s="15"/>
      <c r="I28" s="15"/>
      <c r="J28" s="15"/>
    </row>
    <row r="29" spans="1:10" x14ac:dyDescent="0.3">
      <c r="B29" s="24"/>
      <c r="C29" s="24"/>
      <c r="D29" s="24"/>
      <c r="E29" s="15"/>
      <c r="F29" s="15"/>
      <c r="G29" s="15"/>
      <c r="H29" s="15"/>
      <c r="I29" s="15"/>
      <c r="J29" s="15"/>
    </row>
    <row r="30" spans="1:10" x14ac:dyDescent="0.3">
      <c r="B30" s="24"/>
      <c r="C30" s="24"/>
      <c r="D30" s="24"/>
      <c r="E30" s="15"/>
      <c r="F30" s="15"/>
      <c r="G30" s="15"/>
      <c r="H30" s="15"/>
      <c r="I30" s="15"/>
      <c r="J30" s="15"/>
    </row>
    <row r="31" spans="1:10" x14ac:dyDescent="0.3">
      <c r="A31" s="1"/>
      <c r="B31" s="1"/>
      <c r="C31" s="1"/>
      <c r="D31" s="2"/>
      <c r="E31" s="10" t="s">
        <v>1</v>
      </c>
      <c r="F31" s="10" t="s">
        <v>4</v>
      </c>
      <c r="G31" s="10" t="s">
        <v>2</v>
      </c>
      <c r="H31" s="11" t="s">
        <v>12</v>
      </c>
      <c r="I31" s="10" t="s">
        <v>3</v>
      </c>
      <c r="J31" s="9" t="s">
        <v>6</v>
      </c>
    </row>
    <row r="32" spans="1:10" x14ac:dyDescent="0.3">
      <c r="A32" s="3" t="s">
        <v>379</v>
      </c>
      <c r="B32" s="3" t="s">
        <v>7</v>
      </c>
      <c r="C32" s="4" t="s">
        <v>8</v>
      </c>
      <c r="D32" s="4" t="s">
        <v>0</v>
      </c>
      <c r="E32" s="5" t="s">
        <v>9</v>
      </c>
      <c r="F32" s="6" t="s">
        <v>9</v>
      </c>
      <c r="G32" s="7" t="s">
        <v>9</v>
      </c>
      <c r="H32" s="7" t="s">
        <v>9</v>
      </c>
      <c r="I32" s="8" t="s">
        <v>9</v>
      </c>
      <c r="J32" s="8" t="s">
        <v>9</v>
      </c>
    </row>
    <row r="33" spans="1:10" x14ac:dyDescent="0.3">
      <c r="A33">
        <f t="shared" ref="A33:A64" si="2">RANK(J33,$J$33:$J$152)</f>
        <v>1</v>
      </c>
      <c r="B33" s="14" t="s">
        <v>331</v>
      </c>
      <c r="C33" s="14" t="s">
        <v>131</v>
      </c>
      <c r="D33" s="14" t="s">
        <v>326</v>
      </c>
      <c r="E33" s="15">
        <v>91.614066726780877</v>
      </c>
      <c r="F33" s="30">
        <v>94.19</v>
      </c>
      <c r="G33" s="30">
        <v>0</v>
      </c>
      <c r="H33" s="30">
        <v>100</v>
      </c>
      <c r="I33" s="15"/>
      <c r="J33" s="15">
        <f t="shared" ref="J33:J64" si="3">LARGE(E33:I33,1)+LARGE(E33:I33,2)+LARGE(E33:I33,3)</f>
        <v>285.80406672678089</v>
      </c>
    </row>
    <row r="34" spans="1:10" x14ac:dyDescent="0.3">
      <c r="A34">
        <f t="shared" si="2"/>
        <v>2</v>
      </c>
      <c r="B34" s="14" t="s">
        <v>334</v>
      </c>
      <c r="C34" s="14" t="s">
        <v>35</v>
      </c>
      <c r="D34" s="14" t="s">
        <v>326</v>
      </c>
      <c r="E34" s="15">
        <v>90.982867448151481</v>
      </c>
      <c r="F34" s="15">
        <v>90.562613430127044</v>
      </c>
      <c r="G34" s="30">
        <v>100</v>
      </c>
      <c r="H34" s="15">
        <v>0</v>
      </c>
      <c r="I34" s="15"/>
      <c r="J34" s="15">
        <f t="shared" si="3"/>
        <v>281.54548087827851</v>
      </c>
    </row>
    <row r="35" spans="1:10" x14ac:dyDescent="0.3">
      <c r="A35">
        <f t="shared" si="2"/>
        <v>3</v>
      </c>
      <c r="B35" s="14" t="s">
        <v>335</v>
      </c>
      <c r="C35" s="14" t="s">
        <v>111</v>
      </c>
      <c r="D35" s="14" t="s">
        <v>326</v>
      </c>
      <c r="E35" s="15">
        <v>89.900811541929656</v>
      </c>
      <c r="F35" s="35">
        <v>92.11</v>
      </c>
      <c r="G35" s="22">
        <v>92.25</v>
      </c>
      <c r="H35" s="15">
        <v>96.16</v>
      </c>
      <c r="I35" s="15"/>
      <c r="J35" s="15">
        <f t="shared" si="3"/>
        <v>280.52</v>
      </c>
    </row>
    <row r="36" spans="1:10" x14ac:dyDescent="0.3">
      <c r="A36">
        <f t="shared" si="2"/>
        <v>4</v>
      </c>
      <c r="B36" s="14" t="s">
        <v>339</v>
      </c>
      <c r="C36" s="14" t="s">
        <v>12</v>
      </c>
      <c r="D36" s="14" t="s">
        <v>326</v>
      </c>
      <c r="E36" s="15">
        <v>88.908926961226328</v>
      </c>
      <c r="F36" s="15">
        <v>0</v>
      </c>
      <c r="G36" s="40">
        <v>91.7</v>
      </c>
      <c r="H36" s="15">
        <v>93.09</v>
      </c>
      <c r="I36" s="15"/>
      <c r="J36" s="15">
        <f t="shared" si="3"/>
        <v>273.69892696122633</v>
      </c>
    </row>
    <row r="37" spans="1:10" x14ac:dyDescent="0.3">
      <c r="A37">
        <f t="shared" si="2"/>
        <v>5</v>
      </c>
      <c r="B37" s="14" t="s">
        <v>351</v>
      </c>
      <c r="C37" s="14" t="s">
        <v>141</v>
      </c>
      <c r="D37" s="14" t="s">
        <v>326</v>
      </c>
      <c r="E37" s="15">
        <v>86.384129846708746</v>
      </c>
      <c r="F37" s="15">
        <v>0</v>
      </c>
      <c r="G37" s="22">
        <v>88.19</v>
      </c>
      <c r="H37" s="15">
        <v>96.55</v>
      </c>
      <c r="I37" s="15"/>
      <c r="J37" s="15">
        <f t="shared" si="3"/>
        <v>271.12412984670874</v>
      </c>
    </row>
    <row r="38" spans="1:10" x14ac:dyDescent="0.3">
      <c r="A38">
        <f t="shared" si="2"/>
        <v>6</v>
      </c>
      <c r="B38" s="14" t="s">
        <v>336</v>
      </c>
      <c r="C38" s="14" t="s">
        <v>46</v>
      </c>
      <c r="D38" s="14" t="s">
        <v>326</v>
      </c>
      <c r="E38" s="15">
        <v>89.449954914337241</v>
      </c>
      <c r="F38" s="15">
        <v>88.38</v>
      </c>
      <c r="G38" s="22">
        <v>92.99</v>
      </c>
      <c r="H38" s="15">
        <v>0</v>
      </c>
      <c r="I38" s="15"/>
      <c r="J38" s="15">
        <f t="shared" si="3"/>
        <v>270.81995491433725</v>
      </c>
    </row>
    <row r="39" spans="1:10" x14ac:dyDescent="0.3">
      <c r="A39">
        <f t="shared" si="2"/>
        <v>7</v>
      </c>
      <c r="B39" s="14" t="s">
        <v>340</v>
      </c>
      <c r="C39" s="14" t="s">
        <v>126</v>
      </c>
      <c r="D39" s="14" t="s">
        <v>326</v>
      </c>
      <c r="E39" s="15">
        <v>88.458070333633898</v>
      </c>
      <c r="F39" s="15">
        <v>89.02</v>
      </c>
      <c r="G39" s="22">
        <v>90.77</v>
      </c>
      <c r="H39" s="15">
        <v>0</v>
      </c>
      <c r="I39" s="15"/>
      <c r="J39" s="15">
        <f t="shared" si="3"/>
        <v>268.2480703336339</v>
      </c>
    </row>
    <row r="40" spans="1:10" x14ac:dyDescent="0.3">
      <c r="A40">
        <f t="shared" si="2"/>
        <v>8</v>
      </c>
      <c r="B40" s="18" t="s">
        <v>329</v>
      </c>
      <c r="C40" s="20" t="s">
        <v>245</v>
      </c>
      <c r="D40" s="20" t="s">
        <v>326</v>
      </c>
      <c r="E40" s="19">
        <v>92.155094679891775</v>
      </c>
      <c r="F40" s="15">
        <v>45.553539019963701</v>
      </c>
      <c r="G40" s="22">
        <v>73.25</v>
      </c>
      <c r="H40" s="30">
        <v>97.89</v>
      </c>
      <c r="I40" s="15"/>
      <c r="J40" s="15">
        <f t="shared" si="3"/>
        <v>263.2950946798918</v>
      </c>
    </row>
    <row r="41" spans="1:10" x14ac:dyDescent="0.3">
      <c r="A41">
        <f t="shared" si="2"/>
        <v>9</v>
      </c>
      <c r="B41" s="14" t="s">
        <v>363</v>
      </c>
      <c r="C41" s="14" t="s">
        <v>46</v>
      </c>
      <c r="D41" s="14" t="s">
        <v>326</v>
      </c>
      <c r="E41" s="15">
        <v>83.228133453561767</v>
      </c>
      <c r="F41" s="15">
        <v>87.48</v>
      </c>
      <c r="G41" s="22">
        <v>90.59</v>
      </c>
      <c r="H41" s="15">
        <v>0</v>
      </c>
      <c r="I41" s="15"/>
      <c r="J41" s="15">
        <f t="shared" si="3"/>
        <v>261.29813345356177</v>
      </c>
    </row>
    <row r="42" spans="1:10" x14ac:dyDescent="0.3">
      <c r="A42">
        <f t="shared" si="2"/>
        <v>10</v>
      </c>
      <c r="B42" s="14" t="s">
        <v>354</v>
      </c>
      <c r="C42" s="14" t="s">
        <v>19</v>
      </c>
      <c r="D42" s="14" t="s">
        <v>326</v>
      </c>
      <c r="E42" s="15">
        <v>85.75293056807935</v>
      </c>
      <c r="F42" s="15">
        <v>86.75</v>
      </c>
      <c r="G42" s="40">
        <v>0</v>
      </c>
      <c r="H42" s="15">
        <v>87.52</v>
      </c>
      <c r="I42" s="15"/>
      <c r="J42" s="15">
        <f t="shared" si="3"/>
        <v>260.02293056807935</v>
      </c>
    </row>
    <row r="43" spans="1:10" x14ac:dyDescent="0.3">
      <c r="A43">
        <f t="shared" si="2"/>
        <v>11</v>
      </c>
      <c r="B43" s="14" t="s">
        <v>552</v>
      </c>
      <c r="C43" s="14" t="s">
        <v>495</v>
      </c>
      <c r="D43" s="14" t="s">
        <v>326</v>
      </c>
      <c r="E43" s="15">
        <v>0</v>
      </c>
      <c r="F43" s="15">
        <v>84.029038112522684</v>
      </c>
      <c r="G43" s="22">
        <v>87.64</v>
      </c>
      <c r="H43" s="15">
        <v>87.52</v>
      </c>
      <c r="I43" s="15"/>
      <c r="J43" s="15">
        <f t="shared" si="3"/>
        <v>259.18903811252267</v>
      </c>
    </row>
    <row r="44" spans="1:10" x14ac:dyDescent="0.3">
      <c r="A44">
        <f t="shared" si="2"/>
        <v>12</v>
      </c>
      <c r="B44" s="18" t="s">
        <v>325</v>
      </c>
      <c r="C44" s="18" t="s">
        <v>35</v>
      </c>
      <c r="D44" s="20" t="s">
        <v>326</v>
      </c>
      <c r="E44" s="19">
        <v>100</v>
      </c>
      <c r="F44" s="30">
        <v>100</v>
      </c>
      <c r="G44" s="22">
        <v>0</v>
      </c>
      <c r="H44" s="15">
        <v>0</v>
      </c>
      <c r="I44" s="15"/>
      <c r="J44" s="15">
        <f t="shared" si="3"/>
        <v>200</v>
      </c>
    </row>
    <row r="45" spans="1:10" x14ac:dyDescent="0.3">
      <c r="A45">
        <f t="shared" si="2"/>
        <v>13</v>
      </c>
      <c r="B45" s="18" t="s">
        <v>569</v>
      </c>
      <c r="C45" s="20" t="s">
        <v>495</v>
      </c>
      <c r="D45" s="20" t="s">
        <v>326</v>
      </c>
      <c r="E45" s="15">
        <v>0</v>
      </c>
      <c r="F45" s="30">
        <v>92.74</v>
      </c>
      <c r="G45" s="30">
        <v>96.49</v>
      </c>
      <c r="H45" s="15">
        <v>0</v>
      </c>
      <c r="I45" s="15"/>
      <c r="J45" s="15">
        <f t="shared" si="3"/>
        <v>189.23</v>
      </c>
    </row>
    <row r="46" spans="1:10" x14ac:dyDescent="0.3">
      <c r="A46">
        <f t="shared" si="2"/>
        <v>14</v>
      </c>
      <c r="B46" s="18" t="s">
        <v>327</v>
      </c>
      <c r="C46" s="18" t="s">
        <v>141</v>
      </c>
      <c r="D46" s="20" t="s">
        <v>326</v>
      </c>
      <c r="E46" s="19">
        <v>92.515779981965736</v>
      </c>
      <c r="F46" s="15">
        <v>0</v>
      </c>
      <c r="G46" s="30">
        <v>95.94</v>
      </c>
      <c r="H46" s="15">
        <v>0</v>
      </c>
      <c r="I46" s="15"/>
      <c r="J46" s="15">
        <f t="shared" si="3"/>
        <v>188.45577998196575</v>
      </c>
    </row>
    <row r="47" spans="1:10" x14ac:dyDescent="0.3">
      <c r="A47">
        <f t="shared" si="2"/>
        <v>15</v>
      </c>
      <c r="B47" s="18" t="s">
        <v>328</v>
      </c>
      <c r="C47" s="18" t="s">
        <v>77</v>
      </c>
      <c r="D47" s="20" t="s">
        <v>326</v>
      </c>
      <c r="E47" s="19">
        <v>92.245266005410286</v>
      </c>
      <c r="F47" s="15">
        <v>0</v>
      </c>
      <c r="G47" s="30">
        <v>95.2</v>
      </c>
      <c r="H47" s="15">
        <v>0</v>
      </c>
      <c r="I47" s="15"/>
      <c r="J47" s="15">
        <f t="shared" si="3"/>
        <v>187.4452660054103</v>
      </c>
    </row>
    <row r="48" spans="1:10" x14ac:dyDescent="0.3">
      <c r="A48">
        <f t="shared" si="2"/>
        <v>16</v>
      </c>
      <c r="B48" s="14" t="s">
        <v>558</v>
      </c>
      <c r="C48" s="14" t="s">
        <v>495</v>
      </c>
      <c r="D48" s="14" t="s">
        <v>326</v>
      </c>
      <c r="E48" s="15">
        <v>0</v>
      </c>
      <c r="F48" s="15">
        <v>91.47</v>
      </c>
      <c r="G48" s="30">
        <v>95.94</v>
      </c>
      <c r="H48" s="15">
        <v>0</v>
      </c>
      <c r="I48" s="15"/>
      <c r="J48" s="15">
        <f t="shared" si="3"/>
        <v>187.41</v>
      </c>
    </row>
    <row r="49" spans="1:10" x14ac:dyDescent="0.3">
      <c r="A49">
        <f t="shared" si="2"/>
        <v>17</v>
      </c>
      <c r="B49" s="20" t="s">
        <v>725</v>
      </c>
      <c r="C49" s="20" t="s">
        <v>61</v>
      </c>
      <c r="D49" s="20" t="s">
        <v>326</v>
      </c>
      <c r="E49" s="15">
        <v>0</v>
      </c>
      <c r="F49" s="19">
        <v>0</v>
      </c>
      <c r="G49" s="22">
        <v>92.25</v>
      </c>
      <c r="H49" s="15">
        <v>94.63</v>
      </c>
      <c r="I49" s="15"/>
      <c r="J49" s="15">
        <f t="shared" si="3"/>
        <v>186.88</v>
      </c>
    </row>
    <row r="50" spans="1:10" x14ac:dyDescent="0.3">
      <c r="A50">
        <f t="shared" si="2"/>
        <v>18</v>
      </c>
      <c r="B50" s="14" t="s">
        <v>551</v>
      </c>
      <c r="C50" s="14" t="s">
        <v>19</v>
      </c>
      <c r="D50" s="14" t="s">
        <v>326</v>
      </c>
      <c r="E50" s="15">
        <v>0</v>
      </c>
      <c r="F50" s="15">
        <v>90.562613430127058</v>
      </c>
      <c r="G50" s="22">
        <v>0</v>
      </c>
      <c r="H50" s="15">
        <v>92.9</v>
      </c>
      <c r="I50" s="15"/>
      <c r="J50" s="15">
        <f t="shared" si="3"/>
        <v>183.46261343012708</v>
      </c>
    </row>
    <row r="51" spans="1:10" x14ac:dyDescent="0.3">
      <c r="A51">
        <f t="shared" si="2"/>
        <v>19</v>
      </c>
      <c r="B51" s="14" t="s">
        <v>353</v>
      </c>
      <c r="C51" s="14" t="s">
        <v>141</v>
      </c>
      <c r="D51" s="14" t="s">
        <v>326</v>
      </c>
      <c r="E51" s="15">
        <v>85.933273219116316</v>
      </c>
      <c r="F51" s="15">
        <v>0</v>
      </c>
      <c r="G51" s="40">
        <v>93.91</v>
      </c>
      <c r="H51" s="15">
        <v>0</v>
      </c>
      <c r="I51" s="15"/>
      <c r="J51" s="15">
        <f t="shared" si="3"/>
        <v>179.84327321911633</v>
      </c>
    </row>
    <row r="52" spans="1:10" x14ac:dyDescent="0.3">
      <c r="A52">
        <f t="shared" si="2"/>
        <v>20</v>
      </c>
      <c r="B52" s="14" t="s">
        <v>346</v>
      </c>
      <c r="C52" s="14" t="s">
        <v>131</v>
      </c>
      <c r="D52" s="14" t="s">
        <v>326</v>
      </c>
      <c r="E52" s="15">
        <v>87.376014427412073</v>
      </c>
      <c r="F52" s="15">
        <v>0</v>
      </c>
      <c r="G52" s="22">
        <v>0</v>
      </c>
      <c r="H52" s="15">
        <v>91.36</v>
      </c>
      <c r="I52" s="15"/>
      <c r="J52" s="15">
        <f t="shared" si="3"/>
        <v>178.73601442741207</v>
      </c>
    </row>
    <row r="53" spans="1:10" x14ac:dyDescent="0.3">
      <c r="A53">
        <f t="shared" si="2"/>
        <v>21</v>
      </c>
      <c r="B53" s="14" t="s">
        <v>338</v>
      </c>
      <c r="C53" s="14" t="s">
        <v>141</v>
      </c>
      <c r="D53" s="14" t="s">
        <v>326</v>
      </c>
      <c r="E53" s="15">
        <v>89.359783588818757</v>
      </c>
      <c r="F53" s="15">
        <v>88.66</v>
      </c>
      <c r="G53" s="40">
        <v>0</v>
      </c>
      <c r="H53" s="15">
        <v>0</v>
      </c>
      <c r="I53" s="15"/>
      <c r="J53" s="15">
        <f t="shared" si="3"/>
        <v>178.01978358881877</v>
      </c>
    </row>
    <row r="54" spans="1:10" x14ac:dyDescent="0.3">
      <c r="A54">
        <f t="shared" si="2"/>
        <v>22</v>
      </c>
      <c r="B54" s="14" t="s">
        <v>341</v>
      </c>
      <c r="C54" s="14" t="s">
        <v>131</v>
      </c>
      <c r="D54" s="14" t="s">
        <v>326</v>
      </c>
      <c r="E54" s="15">
        <v>88.367899008115415</v>
      </c>
      <c r="F54" s="15">
        <v>88.57</v>
      </c>
      <c r="G54" s="30">
        <v>0</v>
      </c>
      <c r="H54" s="15">
        <v>0</v>
      </c>
      <c r="I54" s="15"/>
      <c r="J54" s="15">
        <f t="shared" si="3"/>
        <v>176.93789900811541</v>
      </c>
    </row>
    <row r="55" spans="1:10" x14ac:dyDescent="0.3">
      <c r="A55">
        <f t="shared" si="2"/>
        <v>23</v>
      </c>
      <c r="B55" s="14" t="s">
        <v>343</v>
      </c>
      <c r="C55" s="14" t="s">
        <v>12</v>
      </c>
      <c r="D55" s="14" t="s">
        <v>326</v>
      </c>
      <c r="E55" s="15">
        <v>87.917042380522986</v>
      </c>
      <c r="F55" s="15">
        <v>0</v>
      </c>
      <c r="G55" s="22">
        <v>0</v>
      </c>
      <c r="H55" s="15">
        <v>88.68</v>
      </c>
      <c r="I55" s="15"/>
      <c r="J55" s="15">
        <f t="shared" si="3"/>
        <v>176.59704238052299</v>
      </c>
    </row>
    <row r="56" spans="1:10" x14ac:dyDescent="0.3">
      <c r="A56">
        <f t="shared" si="2"/>
        <v>24</v>
      </c>
      <c r="B56" s="14" t="s">
        <v>538</v>
      </c>
      <c r="C56" s="14" t="s">
        <v>493</v>
      </c>
      <c r="D56" s="14" t="s">
        <v>326</v>
      </c>
      <c r="E56" s="15">
        <v>0</v>
      </c>
      <c r="F56" s="15">
        <v>87.477313974591652</v>
      </c>
      <c r="G56" s="22">
        <v>88.38</v>
      </c>
      <c r="H56" s="15">
        <v>0</v>
      </c>
      <c r="I56" s="15"/>
      <c r="J56" s="15">
        <f t="shared" si="3"/>
        <v>175.85731397459165</v>
      </c>
    </row>
    <row r="57" spans="1:10" x14ac:dyDescent="0.3">
      <c r="A57">
        <f t="shared" si="2"/>
        <v>25</v>
      </c>
      <c r="B57" s="14" t="s">
        <v>358</v>
      </c>
      <c r="C57" s="14" t="s">
        <v>141</v>
      </c>
      <c r="D57" s="14" t="s">
        <v>326</v>
      </c>
      <c r="E57" s="15">
        <v>85.031559963931471</v>
      </c>
      <c r="F57" s="15">
        <v>87.11</v>
      </c>
      <c r="G57" s="22">
        <v>0</v>
      </c>
      <c r="H57" s="15">
        <v>0</v>
      </c>
      <c r="I57" s="15"/>
      <c r="J57" s="15">
        <f t="shared" si="3"/>
        <v>172.14155996393146</v>
      </c>
    </row>
    <row r="58" spans="1:10" x14ac:dyDescent="0.3">
      <c r="A58">
        <f t="shared" si="2"/>
        <v>26</v>
      </c>
      <c r="B58" s="14" t="s">
        <v>365</v>
      </c>
      <c r="C58" s="14" t="s">
        <v>131</v>
      </c>
      <c r="D58" s="14" t="s">
        <v>326</v>
      </c>
      <c r="E58" s="15">
        <v>83.047790802524787</v>
      </c>
      <c r="F58" s="15">
        <v>0</v>
      </c>
      <c r="G58" s="40">
        <v>88.38</v>
      </c>
      <c r="H58" s="15">
        <v>0</v>
      </c>
      <c r="I58" s="15"/>
      <c r="J58" s="15">
        <f t="shared" si="3"/>
        <v>171.42779080252478</v>
      </c>
    </row>
    <row r="59" spans="1:10" x14ac:dyDescent="0.3">
      <c r="A59">
        <f t="shared" si="2"/>
        <v>27</v>
      </c>
      <c r="B59" s="14" t="s">
        <v>542</v>
      </c>
      <c r="C59" s="14" t="s">
        <v>141</v>
      </c>
      <c r="D59" s="14" t="s">
        <v>326</v>
      </c>
      <c r="E59" s="15">
        <v>0</v>
      </c>
      <c r="F59" s="15">
        <v>80.490018148820326</v>
      </c>
      <c r="G59" s="22">
        <v>90.41</v>
      </c>
      <c r="H59" s="15">
        <v>0</v>
      </c>
      <c r="I59" s="15"/>
      <c r="J59" s="15">
        <f t="shared" si="3"/>
        <v>170.90001814882032</v>
      </c>
    </row>
    <row r="60" spans="1:10" x14ac:dyDescent="0.3">
      <c r="A60">
        <f t="shared" si="2"/>
        <v>28</v>
      </c>
      <c r="B60" s="14" t="s">
        <v>333</v>
      </c>
      <c r="C60" s="14" t="s">
        <v>19</v>
      </c>
      <c r="D60" s="14" t="s">
        <v>326</v>
      </c>
      <c r="E60" s="15">
        <v>91.253381424706944</v>
      </c>
      <c r="F60" s="15">
        <v>79.13</v>
      </c>
      <c r="G60" s="22">
        <v>0</v>
      </c>
      <c r="H60" s="15">
        <v>0</v>
      </c>
      <c r="I60" s="15"/>
      <c r="J60" s="15">
        <f t="shared" si="3"/>
        <v>170.38338142470695</v>
      </c>
    </row>
    <row r="61" spans="1:10" x14ac:dyDescent="0.3">
      <c r="A61">
        <f t="shared" si="2"/>
        <v>29</v>
      </c>
      <c r="B61" s="14" t="s">
        <v>364</v>
      </c>
      <c r="C61" s="14" t="s">
        <v>61</v>
      </c>
      <c r="D61" s="14" t="s">
        <v>326</v>
      </c>
      <c r="E61" s="15">
        <v>83.228133453561767</v>
      </c>
      <c r="F61" s="15">
        <v>84.39</v>
      </c>
      <c r="G61" s="22">
        <v>0</v>
      </c>
      <c r="H61" s="15">
        <v>0</v>
      </c>
      <c r="I61" s="15"/>
      <c r="J61" s="15">
        <f t="shared" si="3"/>
        <v>167.61813345356177</v>
      </c>
    </row>
    <row r="62" spans="1:10" x14ac:dyDescent="0.3">
      <c r="A62">
        <f t="shared" si="2"/>
        <v>30</v>
      </c>
      <c r="B62" s="14" t="s">
        <v>342</v>
      </c>
      <c r="C62" s="14" t="s">
        <v>1</v>
      </c>
      <c r="D62" s="14" t="s">
        <v>326</v>
      </c>
      <c r="E62" s="15">
        <v>87.917042380522986</v>
      </c>
      <c r="F62" s="15">
        <v>78.400000000000006</v>
      </c>
      <c r="G62" s="22">
        <v>0</v>
      </c>
      <c r="H62" s="15">
        <v>0</v>
      </c>
      <c r="I62" s="15"/>
      <c r="J62" s="15">
        <f t="shared" si="3"/>
        <v>166.31704238052299</v>
      </c>
    </row>
    <row r="63" spans="1:10" x14ac:dyDescent="0.3">
      <c r="A63">
        <f t="shared" si="2"/>
        <v>31</v>
      </c>
      <c r="B63" s="14" t="s">
        <v>372</v>
      </c>
      <c r="C63" s="14" t="s">
        <v>131</v>
      </c>
      <c r="D63" s="14" t="s">
        <v>326</v>
      </c>
      <c r="E63" s="15">
        <v>44.274120829576191</v>
      </c>
      <c r="F63" s="15">
        <v>26.13</v>
      </c>
      <c r="G63" s="40">
        <v>50.37</v>
      </c>
      <c r="H63" s="15">
        <v>71.209999999999994</v>
      </c>
      <c r="I63" s="15"/>
      <c r="J63" s="15">
        <f t="shared" si="3"/>
        <v>165.85412082957617</v>
      </c>
    </row>
    <row r="64" spans="1:10" x14ac:dyDescent="0.3">
      <c r="A64">
        <f t="shared" si="2"/>
        <v>32</v>
      </c>
      <c r="B64" s="14" t="s">
        <v>368</v>
      </c>
      <c r="C64" s="14" t="s">
        <v>126</v>
      </c>
      <c r="D64" s="14" t="s">
        <v>326</v>
      </c>
      <c r="E64" s="15">
        <v>77.81785392245267</v>
      </c>
      <c r="F64" s="15">
        <v>0</v>
      </c>
      <c r="G64" s="22">
        <v>85.79</v>
      </c>
      <c r="H64" s="15">
        <v>0</v>
      </c>
      <c r="I64" s="15"/>
      <c r="J64" s="15">
        <f t="shared" si="3"/>
        <v>163.60785392245268</v>
      </c>
    </row>
    <row r="65" spans="1:10" x14ac:dyDescent="0.3">
      <c r="A65">
        <f t="shared" ref="A65:A96" si="4">RANK(J65,$J$33:$J$152)</f>
        <v>33</v>
      </c>
      <c r="B65" s="14" t="s">
        <v>347</v>
      </c>
      <c r="C65" s="14" t="s">
        <v>1</v>
      </c>
      <c r="D65" s="14" t="s">
        <v>326</v>
      </c>
      <c r="E65" s="15">
        <v>87.195671776375107</v>
      </c>
      <c r="F65" s="15">
        <v>73.14</v>
      </c>
      <c r="G65" s="40">
        <v>0</v>
      </c>
      <c r="H65" s="15">
        <v>0</v>
      </c>
      <c r="I65" s="15"/>
      <c r="J65" s="15">
        <f t="shared" ref="J65:J96" si="5">LARGE(E65:I65,1)+LARGE(E65:I65,2)+LARGE(E65:I65,3)</f>
        <v>160.33567177637511</v>
      </c>
    </row>
    <row r="66" spans="1:10" x14ac:dyDescent="0.3">
      <c r="A66">
        <f t="shared" si="4"/>
        <v>34</v>
      </c>
      <c r="B66" s="45" t="s">
        <v>729</v>
      </c>
      <c r="C66" s="42" t="s">
        <v>59</v>
      </c>
      <c r="D66" s="17" t="s">
        <v>326</v>
      </c>
      <c r="E66" s="15">
        <v>0</v>
      </c>
      <c r="F66" s="15">
        <v>0</v>
      </c>
      <c r="G66" s="22">
        <v>55.9</v>
      </c>
      <c r="H66" s="15">
        <v>92.322456813819556</v>
      </c>
      <c r="I66" s="50"/>
      <c r="J66" s="15">
        <f t="shared" si="5"/>
        <v>148.22245681381955</v>
      </c>
    </row>
    <row r="67" spans="1:10" x14ac:dyDescent="0.3">
      <c r="A67">
        <f t="shared" si="4"/>
        <v>35</v>
      </c>
      <c r="B67" s="14" t="s">
        <v>367</v>
      </c>
      <c r="C67" s="14" t="s">
        <v>245</v>
      </c>
      <c r="D67" s="14" t="s">
        <v>326</v>
      </c>
      <c r="E67" s="15">
        <v>81.514878268710547</v>
      </c>
      <c r="F67" s="15">
        <v>66.61</v>
      </c>
      <c r="G67" s="40">
        <v>0</v>
      </c>
      <c r="H67" s="15">
        <v>0</v>
      </c>
      <c r="I67" s="15"/>
      <c r="J67" s="15">
        <f t="shared" si="5"/>
        <v>148.12487826871055</v>
      </c>
    </row>
    <row r="68" spans="1:10" x14ac:dyDescent="0.3">
      <c r="A68">
        <f t="shared" si="4"/>
        <v>36</v>
      </c>
      <c r="B68" s="14" t="s">
        <v>557</v>
      </c>
      <c r="C68" s="14" t="s">
        <v>131</v>
      </c>
      <c r="D68" s="14" t="s">
        <v>326</v>
      </c>
      <c r="E68" s="15">
        <v>0</v>
      </c>
      <c r="F68" s="15">
        <v>0</v>
      </c>
      <c r="G68" s="30">
        <v>96.31</v>
      </c>
      <c r="H68" s="15">
        <v>44.91</v>
      </c>
      <c r="I68" s="15"/>
      <c r="J68" s="15">
        <f t="shared" si="5"/>
        <v>141.22</v>
      </c>
    </row>
    <row r="69" spans="1:10" x14ac:dyDescent="0.3">
      <c r="A69">
        <f t="shared" si="4"/>
        <v>37</v>
      </c>
      <c r="B69" s="14" t="s">
        <v>337</v>
      </c>
      <c r="C69" s="14" t="s">
        <v>1</v>
      </c>
      <c r="D69" s="14" t="s">
        <v>326</v>
      </c>
      <c r="E69" s="15">
        <v>89.449954914337226</v>
      </c>
      <c r="F69" s="15">
        <v>45.46</v>
      </c>
      <c r="G69" s="40">
        <v>0</v>
      </c>
      <c r="H69" s="15">
        <v>0</v>
      </c>
      <c r="I69" s="15"/>
      <c r="J69" s="15">
        <f t="shared" si="5"/>
        <v>134.90995491433722</v>
      </c>
    </row>
    <row r="70" spans="1:10" x14ac:dyDescent="0.3">
      <c r="A70">
        <f t="shared" si="4"/>
        <v>38</v>
      </c>
      <c r="B70" s="14" t="s">
        <v>543</v>
      </c>
      <c r="C70" s="14" t="s">
        <v>19</v>
      </c>
      <c r="D70" s="14" t="s">
        <v>326</v>
      </c>
      <c r="E70" s="15">
        <v>0</v>
      </c>
      <c r="F70" s="15">
        <v>48.457350272232304</v>
      </c>
      <c r="G70" s="22">
        <v>0</v>
      </c>
      <c r="H70" s="15">
        <v>80.42</v>
      </c>
      <c r="I70" s="15"/>
      <c r="J70" s="15">
        <f t="shared" si="5"/>
        <v>128.87735027223232</v>
      </c>
    </row>
    <row r="71" spans="1:10" x14ac:dyDescent="0.3">
      <c r="A71">
        <f t="shared" si="4"/>
        <v>39</v>
      </c>
      <c r="B71" s="43" t="s">
        <v>848</v>
      </c>
      <c r="C71" s="43" t="s">
        <v>3</v>
      </c>
      <c r="D71" s="43" t="s">
        <v>326</v>
      </c>
      <c r="E71" s="15">
        <v>0</v>
      </c>
      <c r="F71" s="15">
        <v>0</v>
      </c>
      <c r="G71" s="19">
        <v>97.601476014760166</v>
      </c>
      <c r="H71" s="15">
        <v>0</v>
      </c>
      <c r="I71" s="50"/>
      <c r="J71" s="15">
        <f t="shared" si="5"/>
        <v>97.601476014760166</v>
      </c>
    </row>
    <row r="72" spans="1:10" x14ac:dyDescent="0.3">
      <c r="A72">
        <f t="shared" si="4"/>
        <v>40</v>
      </c>
      <c r="B72" s="42" t="s">
        <v>722</v>
      </c>
      <c r="C72" s="42" t="s">
        <v>495</v>
      </c>
      <c r="D72" s="17" t="s">
        <v>326</v>
      </c>
      <c r="E72" s="15">
        <v>0</v>
      </c>
      <c r="F72" s="50">
        <v>0</v>
      </c>
      <c r="G72" s="22">
        <v>0</v>
      </c>
      <c r="H72" s="15">
        <v>96.353166986564304</v>
      </c>
      <c r="I72" s="50"/>
      <c r="J72" s="15">
        <f t="shared" si="5"/>
        <v>96.353166986564304</v>
      </c>
    </row>
    <row r="73" spans="1:10" x14ac:dyDescent="0.3">
      <c r="A73">
        <f t="shared" si="4"/>
        <v>40</v>
      </c>
      <c r="B73" s="45" t="s">
        <v>730</v>
      </c>
      <c r="C73" s="42" t="s">
        <v>160</v>
      </c>
      <c r="D73" s="17" t="s">
        <v>326</v>
      </c>
      <c r="E73" s="15">
        <v>0</v>
      </c>
      <c r="F73" s="15">
        <v>0</v>
      </c>
      <c r="G73" s="22">
        <v>0</v>
      </c>
      <c r="H73" s="15">
        <v>96.353166986564304</v>
      </c>
      <c r="I73" s="50"/>
      <c r="J73" s="15">
        <f t="shared" si="5"/>
        <v>96.353166986564304</v>
      </c>
    </row>
    <row r="74" spans="1:10" x14ac:dyDescent="0.3">
      <c r="A74">
        <f t="shared" si="4"/>
        <v>42</v>
      </c>
      <c r="B74" s="43" t="s">
        <v>850</v>
      </c>
      <c r="C74" s="43" t="s">
        <v>117</v>
      </c>
      <c r="D74" s="43" t="s">
        <v>326</v>
      </c>
      <c r="E74" s="15">
        <v>0</v>
      </c>
      <c r="F74" s="15">
        <v>0</v>
      </c>
      <c r="G74" s="19">
        <v>95.940959409594086</v>
      </c>
      <c r="H74" s="15">
        <v>0</v>
      </c>
      <c r="I74" s="50"/>
      <c r="J74" s="15">
        <f t="shared" si="5"/>
        <v>95.940959409594086</v>
      </c>
    </row>
    <row r="75" spans="1:10" x14ac:dyDescent="0.3">
      <c r="A75">
        <f t="shared" si="4"/>
        <v>43</v>
      </c>
      <c r="B75" s="38" t="s">
        <v>533</v>
      </c>
      <c r="C75" s="38" t="s">
        <v>495</v>
      </c>
      <c r="D75" s="38" t="s">
        <v>326</v>
      </c>
      <c r="E75" s="15">
        <v>0</v>
      </c>
      <c r="F75" s="19">
        <v>94.83</v>
      </c>
      <c r="G75" s="22">
        <v>0</v>
      </c>
      <c r="H75" s="15">
        <v>0</v>
      </c>
      <c r="I75" s="15"/>
      <c r="J75" s="15">
        <f t="shared" si="5"/>
        <v>94.83</v>
      </c>
    </row>
    <row r="76" spans="1:10" x14ac:dyDescent="0.3">
      <c r="A76">
        <f t="shared" si="4"/>
        <v>44</v>
      </c>
      <c r="B76" s="45" t="s">
        <v>723</v>
      </c>
      <c r="C76" s="45" t="s">
        <v>633</v>
      </c>
      <c r="D76" s="17" t="s">
        <v>326</v>
      </c>
      <c r="E76" s="15">
        <v>0</v>
      </c>
      <c r="F76" s="35">
        <v>0</v>
      </c>
      <c r="G76" s="22">
        <v>0</v>
      </c>
      <c r="H76" s="15">
        <v>94.43</v>
      </c>
      <c r="I76" s="50"/>
      <c r="J76" s="15">
        <f t="shared" si="5"/>
        <v>94.43</v>
      </c>
    </row>
    <row r="77" spans="1:10" x14ac:dyDescent="0.3">
      <c r="A77">
        <f t="shared" si="4"/>
        <v>45</v>
      </c>
      <c r="B77" s="45" t="s">
        <v>740</v>
      </c>
      <c r="C77" s="42" t="s">
        <v>160</v>
      </c>
      <c r="D77" s="17" t="s">
        <v>326</v>
      </c>
      <c r="E77" s="15">
        <v>0</v>
      </c>
      <c r="F77" s="15">
        <v>0</v>
      </c>
      <c r="G77" s="40">
        <v>0</v>
      </c>
      <c r="H77" s="15">
        <v>93.282149712092135</v>
      </c>
      <c r="I77" s="50"/>
      <c r="J77" s="15">
        <f t="shared" si="5"/>
        <v>93.282149712092135</v>
      </c>
    </row>
    <row r="78" spans="1:10" x14ac:dyDescent="0.3">
      <c r="A78">
        <f t="shared" si="4"/>
        <v>46</v>
      </c>
      <c r="B78" s="20" t="s">
        <v>535</v>
      </c>
      <c r="C78" s="20" t="s">
        <v>495</v>
      </c>
      <c r="D78" s="20" t="s">
        <v>326</v>
      </c>
      <c r="E78" s="15">
        <v>0</v>
      </c>
      <c r="F78" s="19">
        <v>92.831215970961907</v>
      </c>
      <c r="G78" s="22">
        <v>0</v>
      </c>
      <c r="H78" s="15">
        <v>0</v>
      </c>
      <c r="I78" s="15"/>
      <c r="J78" s="15">
        <f t="shared" si="5"/>
        <v>92.831215970961907</v>
      </c>
    </row>
    <row r="79" spans="1:10" x14ac:dyDescent="0.3">
      <c r="A79">
        <f t="shared" si="4"/>
        <v>47</v>
      </c>
      <c r="B79" s="45" t="s">
        <v>721</v>
      </c>
      <c r="C79" s="45" t="s">
        <v>1</v>
      </c>
      <c r="D79" s="17" t="s">
        <v>326</v>
      </c>
      <c r="E79" s="15">
        <v>0</v>
      </c>
      <c r="F79" s="50">
        <v>0</v>
      </c>
      <c r="G79" s="22">
        <v>92.44</v>
      </c>
      <c r="H79" s="15">
        <v>0</v>
      </c>
      <c r="I79" s="50"/>
      <c r="J79" s="15">
        <f t="shared" si="5"/>
        <v>92.44</v>
      </c>
    </row>
    <row r="80" spans="1:10" x14ac:dyDescent="0.3">
      <c r="A80">
        <f t="shared" si="4"/>
        <v>48</v>
      </c>
      <c r="B80" s="45" t="s">
        <v>741</v>
      </c>
      <c r="C80" s="42" t="s">
        <v>19</v>
      </c>
      <c r="D80" s="17" t="s">
        <v>326</v>
      </c>
      <c r="E80" s="15">
        <v>0</v>
      </c>
      <c r="F80" s="15">
        <v>0</v>
      </c>
      <c r="G80" s="40">
        <v>0</v>
      </c>
      <c r="H80" s="15">
        <v>92.322456813819556</v>
      </c>
      <c r="I80" s="50"/>
      <c r="J80" s="15">
        <f t="shared" si="5"/>
        <v>92.322456813819556</v>
      </c>
    </row>
    <row r="81" spans="1:10" x14ac:dyDescent="0.3">
      <c r="A81">
        <f t="shared" si="4"/>
        <v>49</v>
      </c>
      <c r="B81" s="43" t="s">
        <v>851</v>
      </c>
      <c r="C81" s="43" t="s">
        <v>19</v>
      </c>
      <c r="D81" s="43" t="s">
        <v>326</v>
      </c>
      <c r="E81" s="15">
        <v>0</v>
      </c>
      <c r="F81" s="15">
        <v>0</v>
      </c>
      <c r="G81" s="35">
        <v>92.07</v>
      </c>
      <c r="H81" s="15">
        <v>0</v>
      </c>
      <c r="I81" s="50"/>
      <c r="J81" s="15">
        <f t="shared" si="5"/>
        <v>92.07</v>
      </c>
    </row>
    <row r="82" spans="1:10" x14ac:dyDescent="0.3">
      <c r="A82">
        <f t="shared" si="4"/>
        <v>50</v>
      </c>
      <c r="B82" s="14" t="s">
        <v>549</v>
      </c>
      <c r="C82" s="14" t="s">
        <v>495</v>
      </c>
      <c r="D82" s="14" t="s">
        <v>326</v>
      </c>
      <c r="E82" s="15">
        <v>0</v>
      </c>
      <c r="F82" s="15">
        <v>92.014519056261335</v>
      </c>
      <c r="G82" s="22">
        <v>0</v>
      </c>
      <c r="H82" s="15">
        <v>0</v>
      </c>
      <c r="I82" s="15"/>
      <c r="J82" s="15">
        <f t="shared" si="5"/>
        <v>92.014519056261335</v>
      </c>
    </row>
    <row r="83" spans="1:10" x14ac:dyDescent="0.3">
      <c r="A83">
        <f t="shared" si="4"/>
        <v>51</v>
      </c>
      <c r="B83" s="17" t="s">
        <v>560</v>
      </c>
      <c r="C83" s="14" t="s">
        <v>19</v>
      </c>
      <c r="D83" s="14" t="s">
        <v>326</v>
      </c>
      <c r="E83" s="15">
        <v>0</v>
      </c>
      <c r="F83" s="15">
        <v>91.92</v>
      </c>
      <c r="G83" s="40">
        <v>0</v>
      </c>
      <c r="H83" s="15">
        <v>0</v>
      </c>
      <c r="I83" s="15"/>
      <c r="J83" s="15">
        <f t="shared" si="5"/>
        <v>91.92</v>
      </c>
    </row>
    <row r="84" spans="1:10" x14ac:dyDescent="0.3">
      <c r="A84">
        <f t="shared" si="4"/>
        <v>52</v>
      </c>
      <c r="B84" s="14" t="s">
        <v>330</v>
      </c>
      <c r="C84" s="14" t="s">
        <v>258</v>
      </c>
      <c r="D84" s="14" t="s">
        <v>326</v>
      </c>
      <c r="E84" s="15">
        <v>91.794409377817871</v>
      </c>
      <c r="F84" s="15">
        <v>0</v>
      </c>
      <c r="G84" s="40">
        <v>0</v>
      </c>
      <c r="H84" s="15">
        <v>0</v>
      </c>
      <c r="I84" s="15"/>
      <c r="J84" s="15">
        <f t="shared" si="5"/>
        <v>91.794409377817871</v>
      </c>
    </row>
    <row r="85" spans="1:10" x14ac:dyDescent="0.3">
      <c r="A85">
        <f t="shared" si="4"/>
        <v>53</v>
      </c>
      <c r="B85" s="14" t="s">
        <v>332</v>
      </c>
      <c r="C85" s="14" t="s">
        <v>14</v>
      </c>
      <c r="D85" s="14" t="s">
        <v>326</v>
      </c>
      <c r="E85" s="15">
        <v>91.614066726780877</v>
      </c>
      <c r="F85" s="15">
        <v>0</v>
      </c>
      <c r="G85" s="40">
        <v>0</v>
      </c>
      <c r="H85" s="15">
        <v>0</v>
      </c>
      <c r="I85" s="15"/>
      <c r="J85" s="15">
        <f t="shared" si="5"/>
        <v>91.614066726780877</v>
      </c>
    </row>
    <row r="86" spans="1:10" x14ac:dyDescent="0.3">
      <c r="A86">
        <f t="shared" si="4"/>
        <v>54</v>
      </c>
      <c r="B86" s="62" t="s">
        <v>742</v>
      </c>
      <c r="C86" s="63" t="s">
        <v>12</v>
      </c>
      <c r="D86" s="24" t="s">
        <v>326</v>
      </c>
      <c r="E86" s="15">
        <v>0</v>
      </c>
      <c r="F86" s="15">
        <v>0</v>
      </c>
      <c r="G86" s="40">
        <v>0</v>
      </c>
      <c r="H86" s="15">
        <v>91.554702495201539</v>
      </c>
      <c r="I86" s="50"/>
      <c r="J86" s="15">
        <f t="shared" si="5"/>
        <v>91.554702495201539</v>
      </c>
    </row>
    <row r="87" spans="1:10" x14ac:dyDescent="0.3">
      <c r="A87">
        <f t="shared" si="4"/>
        <v>55</v>
      </c>
      <c r="B87" s="14" t="s">
        <v>540</v>
      </c>
      <c r="C87" s="14" t="s">
        <v>495</v>
      </c>
      <c r="D87" s="14" t="s">
        <v>326</v>
      </c>
      <c r="E87" s="15">
        <v>0</v>
      </c>
      <c r="F87" s="15">
        <v>90.744101633393825</v>
      </c>
      <c r="G87" s="22">
        <v>0</v>
      </c>
      <c r="H87" s="15">
        <v>0</v>
      </c>
      <c r="I87" s="15"/>
      <c r="J87" s="15">
        <f t="shared" si="5"/>
        <v>90.744101633393825</v>
      </c>
    </row>
    <row r="88" spans="1:10" x14ac:dyDescent="0.3">
      <c r="A88">
        <f t="shared" si="4"/>
        <v>55</v>
      </c>
      <c r="B88" s="14" t="s">
        <v>556</v>
      </c>
      <c r="C88" s="14" t="s">
        <v>12</v>
      </c>
      <c r="D88" s="14" t="s">
        <v>326</v>
      </c>
      <c r="E88" s="15">
        <v>0</v>
      </c>
      <c r="F88" s="15">
        <v>90.744101633393825</v>
      </c>
      <c r="G88" s="22">
        <v>0</v>
      </c>
      <c r="H88" s="15">
        <v>0</v>
      </c>
      <c r="I88" s="15"/>
      <c r="J88" s="15">
        <f t="shared" si="5"/>
        <v>90.744101633393825</v>
      </c>
    </row>
    <row r="89" spans="1:10" x14ac:dyDescent="0.3">
      <c r="A89">
        <f t="shared" si="4"/>
        <v>57</v>
      </c>
      <c r="B89" s="14" t="s">
        <v>375</v>
      </c>
      <c r="C89" s="14" t="s">
        <v>117</v>
      </c>
      <c r="D89" s="14" t="s">
        <v>326</v>
      </c>
      <c r="E89" s="15">
        <v>0</v>
      </c>
      <c r="F89" s="35">
        <v>0</v>
      </c>
      <c r="G89" s="22">
        <v>0</v>
      </c>
      <c r="H89" s="15">
        <v>90.4</v>
      </c>
      <c r="I89" s="15"/>
      <c r="J89" s="15">
        <f t="shared" si="5"/>
        <v>90.4</v>
      </c>
    </row>
    <row r="90" spans="1:10" x14ac:dyDescent="0.3">
      <c r="A90">
        <f t="shared" si="4"/>
        <v>58</v>
      </c>
      <c r="B90" s="17" t="s">
        <v>559</v>
      </c>
      <c r="C90" s="14" t="s">
        <v>126</v>
      </c>
      <c r="D90" s="14" t="s">
        <v>326</v>
      </c>
      <c r="E90" s="15">
        <v>0</v>
      </c>
      <c r="F90" s="15">
        <v>90.29</v>
      </c>
      <c r="G90" s="40">
        <v>0</v>
      </c>
      <c r="H90" s="15">
        <v>0</v>
      </c>
      <c r="I90" s="15"/>
      <c r="J90" s="15">
        <f t="shared" si="5"/>
        <v>90.29</v>
      </c>
    </row>
    <row r="91" spans="1:10" x14ac:dyDescent="0.3">
      <c r="A91">
        <f t="shared" si="4"/>
        <v>59</v>
      </c>
      <c r="B91" s="45" t="s">
        <v>743</v>
      </c>
      <c r="C91" s="42" t="s">
        <v>12</v>
      </c>
      <c r="D91" s="17" t="s">
        <v>326</v>
      </c>
      <c r="E91" s="15">
        <v>0</v>
      </c>
      <c r="F91" s="15">
        <v>0</v>
      </c>
      <c r="G91" s="40">
        <v>0</v>
      </c>
      <c r="H91" s="15">
        <v>90.211132437619966</v>
      </c>
      <c r="I91" s="50"/>
      <c r="J91" s="15">
        <f t="shared" si="5"/>
        <v>90.211132437619966</v>
      </c>
    </row>
    <row r="92" spans="1:10" x14ac:dyDescent="0.3">
      <c r="A92">
        <f t="shared" si="4"/>
        <v>60</v>
      </c>
      <c r="B92" s="14" t="s">
        <v>532</v>
      </c>
      <c r="C92" s="14" t="s">
        <v>126</v>
      </c>
      <c r="D92" s="14" t="s">
        <v>326</v>
      </c>
      <c r="E92" s="15">
        <v>0</v>
      </c>
      <c r="F92" s="15">
        <v>88.475499092558977</v>
      </c>
      <c r="G92" s="22">
        <v>0</v>
      </c>
      <c r="H92" s="15">
        <v>0</v>
      </c>
      <c r="I92" s="15"/>
      <c r="J92" s="15">
        <f t="shared" si="5"/>
        <v>88.475499092558977</v>
      </c>
    </row>
    <row r="93" spans="1:10" x14ac:dyDescent="0.3">
      <c r="A93">
        <f t="shared" si="4"/>
        <v>61</v>
      </c>
      <c r="B93" s="43" t="s">
        <v>849</v>
      </c>
      <c r="C93" s="43" t="s">
        <v>2</v>
      </c>
      <c r="D93" s="43" t="s">
        <v>326</v>
      </c>
      <c r="E93" s="15">
        <v>0</v>
      </c>
      <c r="F93" s="15">
        <v>0</v>
      </c>
      <c r="G93" s="35">
        <v>88.376383763837651</v>
      </c>
      <c r="H93" s="15">
        <v>0</v>
      </c>
      <c r="I93" s="50"/>
      <c r="J93" s="15">
        <f t="shared" si="5"/>
        <v>88.376383763837651</v>
      </c>
    </row>
    <row r="94" spans="1:10" x14ac:dyDescent="0.3">
      <c r="A94">
        <f t="shared" si="4"/>
        <v>62</v>
      </c>
      <c r="B94" s="14" t="s">
        <v>547</v>
      </c>
      <c r="C94" s="14" t="s">
        <v>131</v>
      </c>
      <c r="D94" s="14" t="s">
        <v>326</v>
      </c>
      <c r="E94" s="15">
        <v>0</v>
      </c>
      <c r="F94" s="15">
        <v>88.29401088929221</v>
      </c>
      <c r="G94" s="22">
        <v>0</v>
      </c>
      <c r="H94" s="15">
        <v>0</v>
      </c>
      <c r="I94" s="15"/>
      <c r="J94" s="15">
        <f t="shared" si="5"/>
        <v>88.29401088929221</v>
      </c>
    </row>
    <row r="95" spans="1:10" x14ac:dyDescent="0.3">
      <c r="A95">
        <f t="shared" si="4"/>
        <v>63</v>
      </c>
      <c r="B95" s="14" t="s">
        <v>352</v>
      </c>
      <c r="C95" s="14" t="s">
        <v>117</v>
      </c>
      <c r="D95" s="14" t="s">
        <v>326</v>
      </c>
      <c r="E95" s="15">
        <v>0</v>
      </c>
      <c r="F95" s="15">
        <v>87.84</v>
      </c>
      <c r="G95" s="40">
        <v>0</v>
      </c>
      <c r="H95" s="15">
        <v>0</v>
      </c>
      <c r="I95" s="15"/>
      <c r="J95" s="15">
        <f t="shared" si="5"/>
        <v>87.84</v>
      </c>
    </row>
    <row r="96" spans="1:10" x14ac:dyDescent="0.3">
      <c r="A96">
        <f t="shared" si="4"/>
        <v>64</v>
      </c>
      <c r="B96" s="14" t="s">
        <v>548</v>
      </c>
      <c r="C96" s="14" t="s">
        <v>12</v>
      </c>
      <c r="D96" s="14" t="s">
        <v>326</v>
      </c>
      <c r="E96" s="15">
        <v>0</v>
      </c>
      <c r="F96" s="15">
        <v>87.658802177858433</v>
      </c>
      <c r="G96" s="22">
        <v>0</v>
      </c>
      <c r="H96" s="15">
        <v>0</v>
      </c>
      <c r="I96" s="15"/>
      <c r="J96" s="15">
        <f t="shared" si="5"/>
        <v>87.658802177858433</v>
      </c>
    </row>
    <row r="97" spans="1:10" x14ac:dyDescent="0.3">
      <c r="A97">
        <f t="shared" ref="A97:A128" si="6">RANK(J97,$J$33:$J$152)</f>
        <v>65</v>
      </c>
      <c r="B97" s="14" t="s">
        <v>345</v>
      </c>
      <c r="C97" s="14" t="s">
        <v>59</v>
      </c>
      <c r="D97" s="14" t="s">
        <v>326</v>
      </c>
      <c r="E97" s="15">
        <v>87.376014427412073</v>
      </c>
      <c r="F97" s="35">
        <v>0</v>
      </c>
      <c r="G97" s="22">
        <v>0</v>
      </c>
      <c r="H97" s="15">
        <v>0</v>
      </c>
      <c r="I97" s="15"/>
      <c r="J97" s="15">
        <f t="shared" ref="J97:J128" si="7">LARGE(E97:I97,1)+LARGE(E97:I97,2)+LARGE(E97:I97,3)</f>
        <v>87.376014427412073</v>
      </c>
    </row>
    <row r="98" spans="1:10" x14ac:dyDescent="0.3">
      <c r="A98">
        <f t="shared" si="6"/>
        <v>66</v>
      </c>
      <c r="B98" s="14" t="s">
        <v>349</v>
      </c>
      <c r="C98" s="14" t="s">
        <v>1</v>
      </c>
      <c r="D98" s="14" t="s">
        <v>326</v>
      </c>
      <c r="E98" s="15">
        <v>86.834986474301189</v>
      </c>
      <c r="F98" s="15">
        <v>0</v>
      </c>
      <c r="G98" s="22">
        <v>0</v>
      </c>
      <c r="H98" s="15">
        <v>0</v>
      </c>
      <c r="I98" s="15"/>
      <c r="J98" s="15">
        <f t="shared" si="7"/>
        <v>86.834986474301189</v>
      </c>
    </row>
    <row r="99" spans="1:10" x14ac:dyDescent="0.3">
      <c r="A99">
        <f t="shared" si="6"/>
        <v>67</v>
      </c>
      <c r="B99" s="14" t="s">
        <v>348</v>
      </c>
      <c r="C99" s="14" t="s">
        <v>131</v>
      </c>
      <c r="D99" s="14" t="s">
        <v>326</v>
      </c>
      <c r="E99" s="15">
        <v>86.834986474301161</v>
      </c>
      <c r="F99" s="15">
        <v>0</v>
      </c>
      <c r="G99" s="22">
        <v>0</v>
      </c>
      <c r="H99" s="15">
        <v>0</v>
      </c>
      <c r="I99" s="15"/>
      <c r="J99" s="15">
        <f t="shared" si="7"/>
        <v>86.834986474301161</v>
      </c>
    </row>
    <row r="100" spans="1:10" x14ac:dyDescent="0.3">
      <c r="A100">
        <f t="shared" si="6"/>
        <v>68</v>
      </c>
      <c r="B100" s="14" t="s">
        <v>350</v>
      </c>
      <c r="C100" s="14" t="s">
        <v>245</v>
      </c>
      <c r="D100" s="14" t="s">
        <v>326</v>
      </c>
      <c r="E100" s="15">
        <v>86.654643823264195</v>
      </c>
      <c r="F100" s="15">
        <v>0</v>
      </c>
      <c r="G100" s="40">
        <v>0</v>
      </c>
      <c r="H100" s="15">
        <v>0</v>
      </c>
      <c r="I100" s="15"/>
      <c r="J100" s="15">
        <f t="shared" si="7"/>
        <v>86.654643823264195</v>
      </c>
    </row>
    <row r="101" spans="1:10" x14ac:dyDescent="0.3">
      <c r="A101">
        <f t="shared" si="6"/>
        <v>69</v>
      </c>
      <c r="B101" s="42" t="s">
        <v>719</v>
      </c>
      <c r="C101" s="42" t="s">
        <v>19</v>
      </c>
      <c r="D101" s="17" t="s">
        <v>326</v>
      </c>
      <c r="E101" s="15">
        <v>0</v>
      </c>
      <c r="F101" s="15">
        <v>0</v>
      </c>
      <c r="G101" s="22">
        <v>0</v>
      </c>
      <c r="H101" s="15">
        <v>86.372360844529751</v>
      </c>
      <c r="I101" s="50"/>
      <c r="J101" s="15">
        <f t="shared" si="7"/>
        <v>86.372360844529751</v>
      </c>
    </row>
    <row r="102" spans="1:10" x14ac:dyDescent="0.3">
      <c r="A102">
        <f t="shared" si="6"/>
        <v>70</v>
      </c>
      <c r="B102" s="17" t="s">
        <v>718</v>
      </c>
      <c r="C102" s="17" t="s">
        <v>456</v>
      </c>
      <c r="D102" s="17" t="s">
        <v>326</v>
      </c>
      <c r="E102" s="15">
        <v>0</v>
      </c>
      <c r="F102" s="15">
        <v>0</v>
      </c>
      <c r="G102" s="22">
        <v>0</v>
      </c>
      <c r="H102" s="50">
        <v>86.37</v>
      </c>
      <c r="I102" s="50"/>
      <c r="J102" s="15">
        <f t="shared" si="7"/>
        <v>86.37</v>
      </c>
    </row>
    <row r="103" spans="1:10" x14ac:dyDescent="0.3">
      <c r="A103">
        <f t="shared" si="6"/>
        <v>71</v>
      </c>
      <c r="B103" s="17" t="s">
        <v>561</v>
      </c>
      <c r="C103" s="14" t="s">
        <v>117</v>
      </c>
      <c r="D103" s="14" t="s">
        <v>326</v>
      </c>
      <c r="E103" s="15">
        <v>0</v>
      </c>
      <c r="F103" s="15">
        <v>86.3</v>
      </c>
      <c r="G103" s="40">
        <v>0</v>
      </c>
      <c r="H103" s="15">
        <v>0</v>
      </c>
      <c r="I103" s="15"/>
      <c r="J103" s="15">
        <f t="shared" si="7"/>
        <v>86.3</v>
      </c>
    </row>
    <row r="104" spans="1:10" x14ac:dyDescent="0.3">
      <c r="A104">
        <f t="shared" si="6"/>
        <v>72</v>
      </c>
      <c r="B104" s="45" t="s">
        <v>731</v>
      </c>
      <c r="C104" s="42" t="s">
        <v>19</v>
      </c>
      <c r="D104" s="17" t="s">
        <v>326</v>
      </c>
      <c r="E104" s="15">
        <v>0</v>
      </c>
      <c r="F104" s="15">
        <v>0</v>
      </c>
      <c r="G104" s="22">
        <v>0</v>
      </c>
      <c r="H104" s="15">
        <v>85.988483685220729</v>
      </c>
      <c r="I104" s="50"/>
      <c r="J104" s="15">
        <f t="shared" si="7"/>
        <v>85.988483685220729</v>
      </c>
    </row>
    <row r="105" spans="1:10" x14ac:dyDescent="0.3">
      <c r="A105">
        <f t="shared" si="6"/>
        <v>73</v>
      </c>
      <c r="B105" s="14" t="s">
        <v>355</v>
      </c>
      <c r="C105" s="14" t="s">
        <v>54</v>
      </c>
      <c r="D105" s="14" t="s">
        <v>326</v>
      </c>
      <c r="E105" s="15">
        <v>85.662759242560867</v>
      </c>
      <c r="F105" s="15">
        <v>0</v>
      </c>
      <c r="G105" s="22">
        <v>0</v>
      </c>
      <c r="H105" s="15">
        <v>0</v>
      </c>
      <c r="I105" s="15"/>
      <c r="J105" s="15">
        <f t="shared" si="7"/>
        <v>85.662759242560867</v>
      </c>
    </row>
    <row r="106" spans="1:10" x14ac:dyDescent="0.3">
      <c r="A106">
        <f t="shared" si="6"/>
        <v>74</v>
      </c>
      <c r="B106" s="14" t="s">
        <v>357</v>
      </c>
      <c r="C106" s="14" t="s">
        <v>59</v>
      </c>
      <c r="D106" s="14" t="s">
        <v>326</v>
      </c>
      <c r="E106" s="15">
        <v>85.121731289449954</v>
      </c>
      <c r="F106" s="15">
        <v>0</v>
      </c>
      <c r="G106" s="22">
        <v>0</v>
      </c>
      <c r="H106" s="15">
        <v>0</v>
      </c>
      <c r="I106" s="15"/>
      <c r="J106" s="15">
        <f t="shared" si="7"/>
        <v>85.121731289449954</v>
      </c>
    </row>
    <row r="107" spans="1:10" x14ac:dyDescent="0.3">
      <c r="A107">
        <f t="shared" si="6"/>
        <v>74</v>
      </c>
      <c r="B107" s="14" t="s">
        <v>356</v>
      </c>
      <c r="C107" s="14" t="s">
        <v>14</v>
      </c>
      <c r="D107" s="14" t="s">
        <v>326</v>
      </c>
      <c r="E107" s="15">
        <v>85.121731289449954</v>
      </c>
      <c r="F107" s="35">
        <v>0</v>
      </c>
      <c r="G107" s="22">
        <v>0</v>
      </c>
      <c r="H107" s="15">
        <v>0</v>
      </c>
      <c r="I107" s="15"/>
      <c r="J107" s="15">
        <f t="shared" si="7"/>
        <v>85.121731289449954</v>
      </c>
    </row>
    <row r="108" spans="1:10" x14ac:dyDescent="0.3">
      <c r="A108">
        <f t="shared" si="6"/>
        <v>76</v>
      </c>
      <c r="B108" s="14" t="s">
        <v>359</v>
      </c>
      <c r="C108" s="14" t="s">
        <v>245</v>
      </c>
      <c r="D108" s="14" t="s">
        <v>326</v>
      </c>
      <c r="E108" s="15">
        <v>84.851217312894491</v>
      </c>
      <c r="F108" s="15">
        <v>0</v>
      </c>
      <c r="G108" s="22">
        <v>0</v>
      </c>
      <c r="H108" s="15">
        <v>0</v>
      </c>
      <c r="I108" s="15"/>
      <c r="J108" s="15">
        <f t="shared" si="7"/>
        <v>84.851217312894491</v>
      </c>
    </row>
    <row r="109" spans="1:10" x14ac:dyDescent="0.3">
      <c r="A109">
        <f t="shared" si="6"/>
        <v>76</v>
      </c>
      <c r="B109" s="14" t="s">
        <v>361</v>
      </c>
      <c r="C109" s="14" t="s">
        <v>1</v>
      </c>
      <c r="D109" s="14" t="s">
        <v>326</v>
      </c>
      <c r="E109" s="15">
        <v>84.851217312894491</v>
      </c>
      <c r="F109" s="15">
        <v>0</v>
      </c>
      <c r="G109" s="22">
        <v>0</v>
      </c>
      <c r="H109" s="15">
        <v>0</v>
      </c>
      <c r="I109" s="15"/>
      <c r="J109" s="15">
        <f t="shared" si="7"/>
        <v>84.851217312894491</v>
      </c>
    </row>
    <row r="110" spans="1:10" x14ac:dyDescent="0.3">
      <c r="A110">
        <f t="shared" si="6"/>
        <v>78</v>
      </c>
      <c r="B110" s="17" t="s">
        <v>567</v>
      </c>
      <c r="C110" s="14" t="s">
        <v>4</v>
      </c>
      <c r="D110" s="14" t="s">
        <v>326</v>
      </c>
      <c r="E110" s="15">
        <v>0</v>
      </c>
      <c r="F110" s="15">
        <v>84.48</v>
      </c>
      <c r="G110" s="40">
        <v>0</v>
      </c>
      <c r="H110" s="15">
        <v>0</v>
      </c>
      <c r="I110" s="15"/>
      <c r="J110" s="15">
        <f t="shared" si="7"/>
        <v>84.48</v>
      </c>
    </row>
    <row r="111" spans="1:10" x14ac:dyDescent="0.3">
      <c r="A111">
        <f t="shared" si="6"/>
        <v>79</v>
      </c>
      <c r="B111" s="14" t="s">
        <v>553</v>
      </c>
      <c r="C111" s="14" t="s">
        <v>12</v>
      </c>
      <c r="D111" s="14" t="s">
        <v>326</v>
      </c>
      <c r="E111" s="15">
        <v>0</v>
      </c>
      <c r="F111" s="15">
        <v>83.666061705989108</v>
      </c>
      <c r="G111" s="22">
        <v>0</v>
      </c>
      <c r="H111" s="15">
        <v>0</v>
      </c>
      <c r="I111" s="15"/>
      <c r="J111" s="15">
        <f t="shared" si="7"/>
        <v>83.666061705989108</v>
      </c>
    </row>
    <row r="112" spans="1:10" x14ac:dyDescent="0.3">
      <c r="A112">
        <f t="shared" si="6"/>
        <v>80</v>
      </c>
      <c r="B112" s="14" t="s">
        <v>362</v>
      </c>
      <c r="C112" s="14" t="s">
        <v>19</v>
      </c>
      <c r="D112" s="14" t="s">
        <v>326</v>
      </c>
      <c r="E112" s="15">
        <v>83.31830477908025</v>
      </c>
      <c r="F112" s="15">
        <v>0</v>
      </c>
      <c r="G112" s="22">
        <v>0</v>
      </c>
      <c r="H112" s="15">
        <v>0</v>
      </c>
      <c r="I112" s="15"/>
      <c r="J112" s="15">
        <f t="shared" si="7"/>
        <v>83.31830477908025</v>
      </c>
    </row>
    <row r="113" spans="1:10" x14ac:dyDescent="0.3">
      <c r="A113">
        <f t="shared" si="6"/>
        <v>81</v>
      </c>
      <c r="B113" s="45" t="s">
        <v>735</v>
      </c>
      <c r="C113" s="42" t="s">
        <v>117</v>
      </c>
      <c r="D113" s="17" t="s">
        <v>326</v>
      </c>
      <c r="E113" s="15">
        <v>0</v>
      </c>
      <c r="F113" s="15">
        <v>0</v>
      </c>
      <c r="G113" s="22">
        <v>82.47</v>
      </c>
      <c r="H113" s="15">
        <v>0</v>
      </c>
      <c r="I113" s="50"/>
      <c r="J113" s="15">
        <f t="shared" si="7"/>
        <v>82.47</v>
      </c>
    </row>
    <row r="114" spans="1:10" x14ac:dyDescent="0.3">
      <c r="A114">
        <f t="shared" si="6"/>
        <v>82</v>
      </c>
      <c r="B114" s="14" t="s">
        <v>366</v>
      </c>
      <c r="C114" s="14" t="s">
        <v>19</v>
      </c>
      <c r="D114" s="14" t="s">
        <v>326</v>
      </c>
      <c r="E114" s="15">
        <v>82.236248872858425</v>
      </c>
      <c r="F114" s="15">
        <v>0</v>
      </c>
      <c r="G114" s="22">
        <v>0</v>
      </c>
      <c r="H114" s="15">
        <v>0</v>
      </c>
      <c r="I114" s="15"/>
      <c r="J114" s="15">
        <f t="shared" si="7"/>
        <v>82.236248872858425</v>
      </c>
    </row>
    <row r="115" spans="1:10" x14ac:dyDescent="0.3">
      <c r="A115">
        <f t="shared" si="6"/>
        <v>83</v>
      </c>
      <c r="B115" s="14" t="s">
        <v>555</v>
      </c>
      <c r="C115" s="14" t="s">
        <v>4</v>
      </c>
      <c r="D115" s="14" t="s">
        <v>326</v>
      </c>
      <c r="E115" s="15">
        <v>0</v>
      </c>
      <c r="F115" s="15">
        <v>80.762250453720512</v>
      </c>
      <c r="G115" s="22">
        <v>0</v>
      </c>
      <c r="H115" s="15">
        <v>0</v>
      </c>
      <c r="I115" s="15"/>
      <c r="J115" s="15">
        <f t="shared" si="7"/>
        <v>80.762250453720512</v>
      </c>
    </row>
    <row r="116" spans="1:10" x14ac:dyDescent="0.3">
      <c r="A116">
        <f t="shared" si="6"/>
        <v>84</v>
      </c>
      <c r="B116" s="17" t="s">
        <v>566</v>
      </c>
      <c r="C116" s="14" t="s">
        <v>245</v>
      </c>
      <c r="D116" s="14" t="s">
        <v>326</v>
      </c>
      <c r="E116" s="15">
        <v>0</v>
      </c>
      <c r="F116" s="15">
        <v>80.13</v>
      </c>
      <c r="G116" s="40">
        <v>0</v>
      </c>
      <c r="H116" s="15">
        <v>0</v>
      </c>
      <c r="I116" s="15"/>
      <c r="J116" s="15">
        <f t="shared" si="7"/>
        <v>80.13</v>
      </c>
    </row>
    <row r="117" spans="1:10" x14ac:dyDescent="0.3">
      <c r="A117">
        <f t="shared" si="6"/>
        <v>85</v>
      </c>
      <c r="B117" s="43" t="s">
        <v>847</v>
      </c>
      <c r="C117" s="43" t="s">
        <v>14</v>
      </c>
      <c r="D117" s="43" t="s">
        <v>326</v>
      </c>
      <c r="E117" s="15">
        <v>0</v>
      </c>
      <c r="F117" s="15">
        <v>0</v>
      </c>
      <c r="G117" s="35">
        <v>77.67527675276753</v>
      </c>
      <c r="H117" s="15">
        <v>0</v>
      </c>
      <c r="I117" s="50"/>
      <c r="J117" s="15">
        <f t="shared" si="7"/>
        <v>77.67527675276753</v>
      </c>
    </row>
    <row r="118" spans="1:10" x14ac:dyDescent="0.3">
      <c r="A118">
        <f t="shared" si="6"/>
        <v>86</v>
      </c>
      <c r="B118" s="17" t="s">
        <v>568</v>
      </c>
      <c r="C118" s="14" t="s">
        <v>160</v>
      </c>
      <c r="D118" s="14" t="s">
        <v>326</v>
      </c>
      <c r="E118" s="15">
        <v>0</v>
      </c>
      <c r="F118" s="15">
        <v>72.5</v>
      </c>
      <c r="G118" s="40">
        <v>0</v>
      </c>
      <c r="H118" s="15">
        <v>0</v>
      </c>
      <c r="I118" s="15"/>
      <c r="J118" s="15">
        <f t="shared" si="7"/>
        <v>72.5</v>
      </c>
    </row>
    <row r="119" spans="1:10" x14ac:dyDescent="0.3">
      <c r="A119">
        <f t="shared" si="6"/>
        <v>87</v>
      </c>
      <c r="B119" s="45" t="s">
        <v>739</v>
      </c>
      <c r="C119" s="42" t="s">
        <v>59</v>
      </c>
      <c r="D119" s="17" t="s">
        <v>326</v>
      </c>
      <c r="E119" s="15">
        <v>0</v>
      </c>
      <c r="F119" s="15">
        <v>0</v>
      </c>
      <c r="G119" s="40">
        <v>72.14</v>
      </c>
      <c r="H119" s="15">
        <v>0</v>
      </c>
      <c r="I119" s="50"/>
      <c r="J119" s="15">
        <f t="shared" si="7"/>
        <v>72.14</v>
      </c>
    </row>
    <row r="120" spans="1:10" x14ac:dyDescent="0.3">
      <c r="A120">
        <f t="shared" si="6"/>
        <v>88</v>
      </c>
      <c r="B120" s="14" t="s">
        <v>369</v>
      </c>
      <c r="C120" s="14" t="s">
        <v>1</v>
      </c>
      <c r="D120" s="14" t="s">
        <v>326</v>
      </c>
      <c r="E120" s="15">
        <v>71.325518485121719</v>
      </c>
      <c r="F120" s="15">
        <v>0</v>
      </c>
      <c r="G120" s="22">
        <v>0</v>
      </c>
      <c r="H120" s="15">
        <v>0</v>
      </c>
      <c r="I120" s="15"/>
      <c r="J120" s="15">
        <f t="shared" si="7"/>
        <v>71.325518485121719</v>
      </c>
    </row>
    <row r="121" spans="1:10" x14ac:dyDescent="0.3">
      <c r="A121">
        <f t="shared" si="6"/>
        <v>89</v>
      </c>
      <c r="B121" s="14" t="s">
        <v>370</v>
      </c>
      <c r="C121" s="14" t="s">
        <v>1</v>
      </c>
      <c r="D121" s="14" t="s">
        <v>326</v>
      </c>
      <c r="E121" s="15">
        <v>71.05500450856627</v>
      </c>
      <c r="F121" s="15">
        <v>0</v>
      </c>
      <c r="G121" s="22">
        <v>0</v>
      </c>
      <c r="H121" s="15">
        <v>0</v>
      </c>
      <c r="I121" s="15"/>
      <c r="J121" s="15">
        <f t="shared" si="7"/>
        <v>71.05500450856627</v>
      </c>
    </row>
    <row r="122" spans="1:10" x14ac:dyDescent="0.3">
      <c r="A122">
        <f t="shared" si="6"/>
        <v>90</v>
      </c>
      <c r="B122" s="61" t="s">
        <v>536</v>
      </c>
      <c r="C122" s="61" t="s">
        <v>245</v>
      </c>
      <c r="D122" s="61" t="s">
        <v>326</v>
      </c>
      <c r="E122" s="15">
        <v>0</v>
      </c>
      <c r="F122" s="35">
        <v>70.780399274047184</v>
      </c>
      <c r="G122" s="22" t="s">
        <v>845</v>
      </c>
      <c r="H122" s="15">
        <v>0</v>
      </c>
      <c r="I122" s="15"/>
      <c r="J122" s="15">
        <f t="shared" si="7"/>
        <v>70.780399274047184</v>
      </c>
    </row>
    <row r="123" spans="1:10" x14ac:dyDescent="0.3">
      <c r="A123">
        <f t="shared" si="6"/>
        <v>91</v>
      </c>
      <c r="B123" s="52" t="s">
        <v>738</v>
      </c>
      <c r="C123" s="46" t="s">
        <v>19</v>
      </c>
      <c r="D123" s="23" t="s">
        <v>326</v>
      </c>
      <c r="E123" s="15">
        <v>0</v>
      </c>
      <c r="F123" s="15">
        <v>0</v>
      </c>
      <c r="G123" s="15">
        <v>0</v>
      </c>
      <c r="H123" s="15">
        <v>65.642994241842615</v>
      </c>
      <c r="I123" s="50"/>
      <c r="J123" s="15">
        <f t="shared" si="7"/>
        <v>65.642994241842615</v>
      </c>
    </row>
    <row r="124" spans="1:10" x14ac:dyDescent="0.3">
      <c r="A124">
        <f t="shared" si="6"/>
        <v>92</v>
      </c>
      <c r="B124" s="14" t="s">
        <v>371</v>
      </c>
      <c r="C124" s="14" t="s">
        <v>4</v>
      </c>
      <c r="D124" s="32" t="s">
        <v>326</v>
      </c>
      <c r="E124" s="15">
        <v>59.33273219116321</v>
      </c>
      <c r="F124" s="15">
        <v>0</v>
      </c>
      <c r="G124" s="40">
        <v>0</v>
      </c>
      <c r="H124" s="15">
        <v>0</v>
      </c>
      <c r="I124" s="15"/>
      <c r="J124" s="15">
        <f t="shared" si="7"/>
        <v>59.33273219116321</v>
      </c>
    </row>
    <row r="125" spans="1:10" x14ac:dyDescent="0.3">
      <c r="A125">
        <f t="shared" si="6"/>
        <v>93</v>
      </c>
      <c r="B125" s="45" t="s">
        <v>724</v>
      </c>
      <c r="C125" s="45" t="s">
        <v>46</v>
      </c>
      <c r="D125" s="23" t="s">
        <v>326</v>
      </c>
      <c r="E125" s="15">
        <v>0</v>
      </c>
      <c r="F125" s="35">
        <v>0</v>
      </c>
      <c r="G125" s="22">
        <v>0</v>
      </c>
      <c r="H125" s="15">
        <v>59.12</v>
      </c>
      <c r="I125" s="50"/>
      <c r="J125" s="15">
        <f t="shared" si="7"/>
        <v>59.12</v>
      </c>
    </row>
    <row r="126" spans="1:10" x14ac:dyDescent="0.3">
      <c r="A126">
        <f t="shared" si="6"/>
        <v>94</v>
      </c>
      <c r="B126" s="45" t="s">
        <v>733</v>
      </c>
      <c r="C126" s="42" t="s">
        <v>61</v>
      </c>
      <c r="D126" s="23" t="s">
        <v>326</v>
      </c>
      <c r="E126" s="15">
        <v>0</v>
      </c>
      <c r="F126" s="15">
        <v>0</v>
      </c>
      <c r="G126" s="22">
        <v>47.97</v>
      </c>
      <c r="H126" s="15">
        <v>0</v>
      </c>
      <c r="I126" s="50"/>
      <c r="J126" s="15">
        <f t="shared" si="7"/>
        <v>47.97</v>
      </c>
    </row>
    <row r="127" spans="1:10" x14ac:dyDescent="0.3">
      <c r="A127">
        <f t="shared" si="6"/>
        <v>95</v>
      </c>
      <c r="B127" s="14" t="s">
        <v>550</v>
      </c>
      <c r="C127" s="14" t="s">
        <v>4</v>
      </c>
      <c r="D127" s="32" t="s">
        <v>326</v>
      </c>
      <c r="E127" s="15">
        <v>0</v>
      </c>
      <c r="F127" s="15">
        <v>47.459165154264973</v>
      </c>
      <c r="G127" s="22">
        <v>0</v>
      </c>
      <c r="H127" s="15">
        <v>0</v>
      </c>
      <c r="I127" s="15"/>
      <c r="J127" s="15">
        <f t="shared" si="7"/>
        <v>47.459165154264973</v>
      </c>
    </row>
    <row r="128" spans="1:10" x14ac:dyDescent="0.3">
      <c r="A128">
        <f t="shared" si="6"/>
        <v>96</v>
      </c>
      <c r="B128" s="32" t="s">
        <v>544</v>
      </c>
      <c r="C128" s="32" t="s">
        <v>545</v>
      </c>
      <c r="D128" s="32" t="s">
        <v>326</v>
      </c>
      <c r="E128" s="15">
        <v>0</v>
      </c>
      <c r="F128" s="15">
        <v>41.651542649727766</v>
      </c>
      <c r="G128" s="22">
        <v>0</v>
      </c>
      <c r="H128" s="15">
        <v>0</v>
      </c>
      <c r="I128" s="15"/>
      <c r="J128" s="15">
        <f t="shared" si="7"/>
        <v>41.651542649727766</v>
      </c>
    </row>
    <row r="129" spans="1:10" x14ac:dyDescent="0.3">
      <c r="A129">
        <f t="shared" ref="A129:A152" si="8">RANK(J129,$J$33:$J$152)</f>
        <v>97</v>
      </c>
      <c r="B129" s="23" t="s">
        <v>562</v>
      </c>
      <c r="C129" s="32" t="s">
        <v>5</v>
      </c>
      <c r="D129" s="32" t="s">
        <v>326</v>
      </c>
      <c r="E129" s="15">
        <v>0</v>
      </c>
      <c r="F129" s="15">
        <v>1.0900000000000001</v>
      </c>
      <c r="G129" s="40">
        <v>0</v>
      </c>
      <c r="H129" s="15">
        <v>0</v>
      </c>
      <c r="I129" s="15"/>
      <c r="J129" s="15">
        <f t="shared" ref="J129:J152" si="9">LARGE(E129:I129,1)+LARGE(E129:I129,2)+LARGE(E129:I129,3)</f>
        <v>1.0900000000000001</v>
      </c>
    </row>
    <row r="130" spans="1:10" x14ac:dyDescent="0.3">
      <c r="A130">
        <f t="shared" si="8"/>
        <v>98</v>
      </c>
      <c r="B130" s="14" t="s">
        <v>376</v>
      </c>
      <c r="C130" s="14" t="s">
        <v>117</v>
      </c>
      <c r="D130" s="32" t="s">
        <v>326</v>
      </c>
      <c r="E130" s="15">
        <v>0</v>
      </c>
      <c r="F130" s="15">
        <v>0</v>
      </c>
      <c r="G130" s="22">
        <v>0</v>
      </c>
      <c r="H130" s="15">
        <v>0</v>
      </c>
      <c r="I130" s="15"/>
      <c r="J130" s="15">
        <f t="shared" si="9"/>
        <v>0</v>
      </c>
    </row>
    <row r="131" spans="1:10" x14ac:dyDescent="0.3">
      <c r="A131">
        <f t="shared" si="8"/>
        <v>98</v>
      </c>
      <c r="B131" s="14" t="s">
        <v>531</v>
      </c>
      <c r="C131" s="14" t="s">
        <v>484</v>
      </c>
      <c r="D131" s="32" t="s">
        <v>326</v>
      </c>
      <c r="E131" s="15">
        <v>0</v>
      </c>
      <c r="F131" s="15">
        <v>0</v>
      </c>
      <c r="G131" s="22">
        <v>0</v>
      </c>
      <c r="H131" s="15">
        <v>0</v>
      </c>
      <c r="I131" s="15"/>
      <c r="J131" s="15">
        <f t="shared" si="9"/>
        <v>0</v>
      </c>
    </row>
    <row r="132" spans="1:10" x14ac:dyDescent="0.3">
      <c r="A132">
        <f t="shared" si="8"/>
        <v>98</v>
      </c>
      <c r="B132" s="45" t="s">
        <v>720</v>
      </c>
      <c r="C132" s="45" t="s">
        <v>245</v>
      </c>
      <c r="D132" s="23" t="s">
        <v>326</v>
      </c>
      <c r="E132" s="15">
        <v>0</v>
      </c>
      <c r="F132" s="15">
        <v>0</v>
      </c>
      <c r="G132" s="22">
        <v>0</v>
      </c>
      <c r="H132" s="15">
        <v>0</v>
      </c>
      <c r="I132" s="50"/>
      <c r="J132" s="15">
        <f t="shared" si="9"/>
        <v>0</v>
      </c>
    </row>
    <row r="133" spans="1:10" x14ac:dyDescent="0.3">
      <c r="A133">
        <f t="shared" si="8"/>
        <v>98</v>
      </c>
      <c r="B133" s="20" t="s">
        <v>534</v>
      </c>
      <c r="C133" s="20" t="s">
        <v>4</v>
      </c>
      <c r="D133" s="51" t="s">
        <v>326</v>
      </c>
      <c r="E133" s="15">
        <v>0</v>
      </c>
      <c r="F133" s="35">
        <v>0</v>
      </c>
      <c r="G133" s="22">
        <v>0</v>
      </c>
      <c r="H133" s="15">
        <v>0</v>
      </c>
      <c r="I133" s="15"/>
      <c r="J133" s="15">
        <f t="shared" si="9"/>
        <v>0</v>
      </c>
    </row>
    <row r="134" spans="1:10" x14ac:dyDescent="0.3">
      <c r="A134">
        <f t="shared" si="8"/>
        <v>98</v>
      </c>
      <c r="B134" s="14" t="s">
        <v>537</v>
      </c>
      <c r="C134" s="14" t="s">
        <v>19</v>
      </c>
      <c r="D134" s="32" t="s">
        <v>326</v>
      </c>
      <c r="E134" s="15">
        <v>0</v>
      </c>
      <c r="F134" s="35">
        <v>0</v>
      </c>
      <c r="G134" s="22">
        <v>0</v>
      </c>
      <c r="H134" s="15">
        <v>0</v>
      </c>
      <c r="I134" s="15"/>
      <c r="J134" s="15">
        <f t="shared" si="9"/>
        <v>0</v>
      </c>
    </row>
    <row r="135" spans="1:10" x14ac:dyDescent="0.3">
      <c r="A135">
        <f t="shared" si="8"/>
        <v>98</v>
      </c>
      <c r="B135" s="14" t="s">
        <v>539</v>
      </c>
      <c r="C135" s="14" t="s">
        <v>54</v>
      </c>
      <c r="D135" s="32" t="s">
        <v>326</v>
      </c>
      <c r="E135" s="15">
        <v>0</v>
      </c>
      <c r="F135" s="15">
        <v>0</v>
      </c>
      <c r="G135" s="22">
        <v>0</v>
      </c>
      <c r="H135" s="15">
        <v>0</v>
      </c>
      <c r="I135" s="15"/>
      <c r="J135" s="15">
        <f t="shared" si="9"/>
        <v>0</v>
      </c>
    </row>
    <row r="136" spans="1:10" x14ac:dyDescent="0.3">
      <c r="A136">
        <f t="shared" si="8"/>
        <v>98</v>
      </c>
      <c r="B136" s="45" t="s">
        <v>726</v>
      </c>
      <c r="C136" s="42" t="s">
        <v>727</v>
      </c>
      <c r="D136" s="23" t="s">
        <v>326</v>
      </c>
      <c r="E136" s="15">
        <v>0</v>
      </c>
      <c r="F136" s="15">
        <v>0</v>
      </c>
      <c r="G136" s="15">
        <v>0</v>
      </c>
      <c r="H136" s="15">
        <v>0</v>
      </c>
      <c r="I136" s="50"/>
      <c r="J136" s="15">
        <f t="shared" si="9"/>
        <v>0</v>
      </c>
    </row>
    <row r="137" spans="1:10" x14ac:dyDescent="0.3">
      <c r="A137">
        <f t="shared" si="8"/>
        <v>98</v>
      </c>
      <c r="B137" s="45" t="s">
        <v>728</v>
      </c>
      <c r="C137" s="42" t="s">
        <v>727</v>
      </c>
      <c r="D137" s="23" t="s">
        <v>326</v>
      </c>
      <c r="E137" s="15">
        <v>0</v>
      </c>
      <c r="F137" s="15">
        <v>0</v>
      </c>
      <c r="G137" s="30">
        <v>0</v>
      </c>
      <c r="H137" s="15">
        <v>0</v>
      </c>
      <c r="I137" s="50"/>
      <c r="J137" s="15">
        <f t="shared" si="9"/>
        <v>0</v>
      </c>
    </row>
    <row r="138" spans="1:10" x14ac:dyDescent="0.3">
      <c r="A138">
        <f t="shared" si="8"/>
        <v>98</v>
      </c>
      <c r="B138" s="14" t="s">
        <v>360</v>
      </c>
      <c r="C138" s="14" t="s">
        <v>117</v>
      </c>
      <c r="D138" s="32" t="s">
        <v>326</v>
      </c>
      <c r="E138" s="15">
        <v>0</v>
      </c>
      <c r="F138" s="15">
        <v>0</v>
      </c>
      <c r="G138" s="22">
        <v>0</v>
      </c>
      <c r="H138" s="15">
        <v>0</v>
      </c>
      <c r="I138" s="15"/>
      <c r="J138" s="15">
        <f t="shared" si="9"/>
        <v>0</v>
      </c>
    </row>
    <row r="139" spans="1:10" x14ac:dyDescent="0.3">
      <c r="A139">
        <f t="shared" si="8"/>
        <v>98</v>
      </c>
      <c r="B139" s="14" t="s">
        <v>374</v>
      </c>
      <c r="C139" s="14" t="s">
        <v>77</v>
      </c>
      <c r="D139" s="32" t="s">
        <v>326</v>
      </c>
      <c r="E139" s="15">
        <v>0</v>
      </c>
      <c r="F139" s="15">
        <v>0</v>
      </c>
      <c r="G139" s="22">
        <v>0</v>
      </c>
      <c r="H139" s="15">
        <v>0</v>
      </c>
      <c r="I139" s="15"/>
      <c r="J139" s="15">
        <f t="shared" si="9"/>
        <v>0</v>
      </c>
    </row>
    <row r="140" spans="1:10" x14ac:dyDescent="0.3">
      <c r="A140">
        <f t="shared" si="8"/>
        <v>98</v>
      </c>
      <c r="B140" s="14" t="s">
        <v>541</v>
      </c>
      <c r="C140" s="14" t="s">
        <v>484</v>
      </c>
      <c r="D140" s="32" t="s">
        <v>326</v>
      </c>
      <c r="E140" s="15">
        <v>0</v>
      </c>
      <c r="F140" s="15">
        <v>0</v>
      </c>
      <c r="G140" s="22">
        <v>0</v>
      </c>
      <c r="H140" s="15">
        <v>0</v>
      </c>
      <c r="I140" s="15"/>
      <c r="J140" s="15">
        <f t="shared" si="9"/>
        <v>0</v>
      </c>
    </row>
    <row r="141" spans="1:10" x14ac:dyDescent="0.3">
      <c r="A141">
        <f t="shared" si="8"/>
        <v>98</v>
      </c>
      <c r="B141" s="45" t="s">
        <v>732</v>
      </c>
      <c r="C141" s="42" t="s">
        <v>727</v>
      </c>
      <c r="D141" s="23" t="s">
        <v>326</v>
      </c>
      <c r="E141" s="15">
        <v>0</v>
      </c>
      <c r="F141" s="15">
        <v>0</v>
      </c>
      <c r="G141" s="22">
        <v>0</v>
      </c>
      <c r="H141" s="15">
        <v>0</v>
      </c>
      <c r="I141" s="50"/>
      <c r="J141" s="15">
        <f t="shared" si="9"/>
        <v>0</v>
      </c>
    </row>
    <row r="142" spans="1:10" x14ac:dyDescent="0.3">
      <c r="A142">
        <f t="shared" si="8"/>
        <v>98</v>
      </c>
      <c r="B142" s="14" t="s">
        <v>546</v>
      </c>
      <c r="C142" s="14" t="s">
        <v>46</v>
      </c>
      <c r="D142" s="32" t="s">
        <v>326</v>
      </c>
      <c r="E142" s="15">
        <v>0</v>
      </c>
      <c r="F142" s="15">
        <v>0</v>
      </c>
      <c r="G142" s="22">
        <v>0</v>
      </c>
      <c r="H142" s="15">
        <v>0</v>
      </c>
      <c r="I142" s="15"/>
      <c r="J142" s="15">
        <f t="shared" si="9"/>
        <v>0</v>
      </c>
    </row>
    <row r="143" spans="1:10" x14ac:dyDescent="0.3">
      <c r="A143">
        <f t="shared" si="8"/>
        <v>98</v>
      </c>
      <c r="B143" s="45" t="s">
        <v>734</v>
      </c>
      <c r="C143" s="42" t="s">
        <v>727</v>
      </c>
      <c r="D143" s="23" t="s">
        <v>326</v>
      </c>
      <c r="E143" s="15">
        <v>0</v>
      </c>
      <c r="F143" s="15">
        <v>0</v>
      </c>
      <c r="G143" s="22">
        <v>0</v>
      </c>
      <c r="H143" s="15">
        <v>0</v>
      </c>
      <c r="I143" s="50"/>
      <c r="J143" s="15">
        <f t="shared" si="9"/>
        <v>0</v>
      </c>
    </row>
    <row r="144" spans="1:10" x14ac:dyDescent="0.3">
      <c r="A144">
        <f t="shared" si="8"/>
        <v>98</v>
      </c>
      <c r="B144" s="45" t="s">
        <v>736</v>
      </c>
      <c r="C144" s="42" t="s">
        <v>59</v>
      </c>
      <c r="D144" s="23" t="s">
        <v>326</v>
      </c>
      <c r="E144" s="15">
        <v>0</v>
      </c>
      <c r="F144" s="15">
        <v>0</v>
      </c>
      <c r="G144" s="22">
        <v>0</v>
      </c>
      <c r="H144" s="15">
        <v>0</v>
      </c>
      <c r="I144" s="50"/>
      <c r="J144" s="15">
        <f t="shared" si="9"/>
        <v>0</v>
      </c>
    </row>
    <row r="145" spans="1:10" x14ac:dyDescent="0.3">
      <c r="A145">
        <f t="shared" si="8"/>
        <v>98</v>
      </c>
      <c r="B145" s="14" t="s">
        <v>344</v>
      </c>
      <c r="C145" s="14" t="s">
        <v>117</v>
      </c>
      <c r="D145" s="32" t="s">
        <v>326</v>
      </c>
      <c r="E145" s="15">
        <v>0</v>
      </c>
      <c r="F145" s="15">
        <v>0</v>
      </c>
      <c r="G145" s="22">
        <v>0</v>
      </c>
      <c r="H145" s="15">
        <v>0</v>
      </c>
      <c r="I145" s="15"/>
      <c r="J145" s="15">
        <f t="shared" si="9"/>
        <v>0</v>
      </c>
    </row>
    <row r="146" spans="1:10" x14ac:dyDescent="0.3">
      <c r="A146">
        <f t="shared" si="8"/>
        <v>98</v>
      </c>
      <c r="B146" s="45" t="s">
        <v>737</v>
      </c>
      <c r="C146" s="42" t="s">
        <v>1</v>
      </c>
      <c r="D146" s="23" t="s">
        <v>326</v>
      </c>
      <c r="E146" s="15">
        <v>0</v>
      </c>
      <c r="F146" s="15">
        <v>0</v>
      </c>
      <c r="G146" s="15">
        <v>0</v>
      </c>
      <c r="H146" s="15">
        <v>0</v>
      </c>
      <c r="I146" s="50"/>
      <c r="J146" s="15">
        <f t="shared" si="9"/>
        <v>0</v>
      </c>
    </row>
    <row r="147" spans="1:10" x14ac:dyDescent="0.3">
      <c r="A147">
        <f t="shared" si="8"/>
        <v>98</v>
      </c>
      <c r="B147" s="14" t="s">
        <v>554</v>
      </c>
      <c r="C147" s="14" t="s">
        <v>131</v>
      </c>
      <c r="D147" s="14" t="s">
        <v>326</v>
      </c>
      <c r="E147" s="15">
        <v>0</v>
      </c>
      <c r="F147" s="15">
        <v>0</v>
      </c>
      <c r="G147" s="22">
        <v>0</v>
      </c>
      <c r="H147" s="15">
        <v>0</v>
      </c>
      <c r="I147" s="15"/>
      <c r="J147" s="15">
        <f t="shared" si="9"/>
        <v>0</v>
      </c>
    </row>
    <row r="148" spans="1:10" x14ac:dyDescent="0.3">
      <c r="A148">
        <f t="shared" si="8"/>
        <v>98</v>
      </c>
      <c r="B148" s="17" t="s">
        <v>563</v>
      </c>
      <c r="C148" s="14" t="s">
        <v>131</v>
      </c>
      <c r="D148" s="14" t="s">
        <v>326</v>
      </c>
      <c r="E148" s="15">
        <v>0</v>
      </c>
      <c r="F148" s="15">
        <v>0</v>
      </c>
      <c r="G148" s="40">
        <v>0</v>
      </c>
      <c r="H148" s="15">
        <v>0</v>
      </c>
      <c r="I148" s="15"/>
      <c r="J148" s="15">
        <f t="shared" si="9"/>
        <v>0</v>
      </c>
    </row>
    <row r="149" spans="1:10" x14ac:dyDescent="0.3">
      <c r="A149">
        <f t="shared" si="8"/>
        <v>98</v>
      </c>
      <c r="B149" s="14" t="s">
        <v>373</v>
      </c>
      <c r="C149" s="14" t="s">
        <v>245</v>
      </c>
      <c r="D149" s="14" t="s">
        <v>326</v>
      </c>
      <c r="E149" s="15">
        <v>0</v>
      </c>
      <c r="F149" s="15">
        <v>0</v>
      </c>
      <c r="G149" s="40">
        <v>0</v>
      </c>
      <c r="H149" s="15">
        <v>0</v>
      </c>
      <c r="I149" s="15"/>
      <c r="J149" s="15">
        <f t="shared" si="9"/>
        <v>0</v>
      </c>
    </row>
    <row r="150" spans="1:10" x14ac:dyDescent="0.3">
      <c r="A150">
        <f t="shared" si="8"/>
        <v>98</v>
      </c>
      <c r="B150" s="17" t="s">
        <v>564</v>
      </c>
      <c r="C150" s="14" t="s">
        <v>456</v>
      </c>
      <c r="D150" s="14" t="s">
        <v>326</v>
      </c>
      <c r="E150" s="15">
        <v>0</v>
      </c>
      <c r="F150" s="15">
        <v>0</v>
      </c>
      <c r="G150" s="40">
        <v>0</v>
      </c>
      <c r="H150" s="15">
        <v>0</v>
      </c>
      <c r="I150" s="15"/>
      <c r="J150" s="15">
        <f t="shared" si="9"/>
        <v>0</v>
      </c>
    </row>
    <row r="151" spans="1:10" x14ac:dyDescent="0.3">
      <c r="A151">
        <f t="shared" si="8"/>
        <v>98</v>
      </c>
      <c r="B151" s="17" t="s">
        <v>565</v>
      </c>
      <c r="C151" s="17" t="s">
        <v>5</v>
      </c>
      <c r="D151" s="14" t="s">
        <v>326</v>
      </c>
      <c r="E151" s="15">
        <v>0</v>
      </c>
      <c r="F151" s="15">
        <v>0</v>
      </c>
      <c r="G151" s="40">
        <v>0</v>
      </c>
      <c r="H151" s="15">
        <v>0</v>
      </c>
      <c r="I151" s="15"/>
      <c r="J151" s="15">
        <f t="shared" si="9"/>
        <v>0</v>
      </c>
    </row>
    <row r="152" spans="1:10" x14ac:dyDescent="0.3">
      <c r="A152">
        <f t="shared" si="8"/>
        <v>98</v>
      </c>
      <c r="B152" s="43" t="s">
        <v>846</v>
      </c>
      <c r="C152" s="43" t="s">
        <v>5</v>
      </c>
      <c r="D152" s="43" t="s">
        <v>326</v>
      </c>
      <c r="E152" s="15">
        <v>0</v>
      </c>
      <c r="F152" s="15">
        <v>0</v>
      </c>
      <c r="G152" s="35">
        <v>0</v>
      </c>
      <c r="H152" s="15">
        <v>0</v>
      </c>
      <c r="I152" s="50"/>
      <c r="J152" s="15">
        <f t="shared" si="9"/>
        <v>0</v>
      </c>
    </row>
  </sheetData>
  <sortState xmlns:xlrd2="http://schemas.microsoft.com/office/spreadsheetml/2017/richdata2" ref="A33:J152">
    <sortCondition ref="A33:A15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E9846-80EA-4597-9A1B-0E552B5E409D}">
  <sheetPr codeName="Sheet3"/>
  <dimension ref="A1:J149"/>
  <sheetViews>
    <sheetView zoomScale="58" workbookViewId="0">
      <selection activeCell="B32" sqref="B32:C34"/>
    </sheetView>
  </sheetViews>
  <sheetFormatPr defaultRowHeight="14.4" x14ac:dyDescent="0.3"/>
  <cols>
    <col min="2" max="2" width="19.44140625" bestFit="1" customWidth="1"/>
    <col min="3" max="3" width="16.44140625" bestFit="1" customWidth="1"/>
    <col min="4" max="4" width="13.44140625" customWidth="1"/>
    <col min="5" max="5" width="9.88671875" bestFit="1" customWidth="1"/>
    <col min="6" max="6" width="10" bestFit="1" customWidth="1"/>
    <col min="7" max="7" width="10.33203125" bestFit="1" customWidth="1"/>
    <col min="8" max="8" width="11.44140625" bestFit="1" customWidth="1"/>
    <col min="9" max="9" width="12.44140625" bestFit="1" customWidth="1"/>
    <col min="10" max="10" width="10" bestFit="1" customWidth="1"/>
  </cols>
  <sheetData>
    <row r="1" spans="1:10" x14ac:dyDescent="0.3">
      <c r="A1" s="1"/>
      <c r="B1" s="1"/>
      <c r="C1" s="1"/>
      <c r="D1" s="2"/>
      <c r="E1" s="10" t="s">
        <v>1</v>
      </c>
      <c r="F1" s="10" t="s">
        <v>4</v>
      </c>
      <c r="G1" s="10" t="s">
        <v>2</v>
      </c>
      <c r="H1" s="11" t="s">
        <v>12</v>
      </c>
      <c r="I1" s="10" t="s">
        <v>3</v>
      </c>
      <c r="J1" s="9" t="s">
        <v>6</v>
      </c>
    </row>
    <row r="2" spans="1:10" x14ac:dyDescent="0.3">
      <c r="A2" s="3" t="s">
        <v>379</v>
      </c>
      <c r="B2" s="3" t="s">
        <v>7</v>
      </c>
      <c r="C2" s="4" t="s">
        <v>8</v>
      </c>
      <c r="D2" s="4" t="s">
        <v>0</v>
      </c>
      <c r="E2" s="5" t="s">
        <v>9</v>
      </c>
      <c r="F2" s="6" t="s">
        <v>9</v>
      </c>
      <c r="G2" s="7" t="s">
        <v>9</v>
      </c>
      <c r="H2" s="7" t="s">
        <v>9</v>
      </c>
      <c r="I2" s="8" t="s">
        <v>9</v>
      </c>
      <c r="J2" s="8" t="s">
        <v>9</v>
      </c>
    </row>
    <row r="3" spans="1:10" x14ac:dyDescent="0.3">
      <c r="A3">
        <f t="shared" ref="A3:A27" si="0">RANK(J3,$J$3:$J$27)</f>
        <v>1</v>
      </c>
      <c r="B3" s="14" t="s">
        <v>247</v>
      </c>
      <c r="C3" s="14" t="s">
        <v>5</v>
      </c>
      <c r="D3" s="14" t="s">
        <v>242</v>
      </c>
      <c r="E3" s="15">
        <v>85.2</v>
      </c>
      <c r="F3" s="15">
        <v>95.53</v>
      </c>
      <c r="G3" s="22">
        <v>98.49</v>
      </c>
      <c r="H3" s="30">
        <v>100</v>
      </c>
      <c r="I3" s="15"/>
      <c r="J3" s="15">
        <f t="shared" ref="J3:J27" si="1">LARGE(E3:I3,1)+LARGE(E3:I3,2)+LARGE(E3:I3,3)</f>
        <v>294.02</v>
      </c>
    </row>
    <row r="4" spans="1:10" x14ac:dyDescent="0.3">
      <c r="A4">
        <f t="shared" si="0"/>
        <v>2</v>
      </c>
      <c r="B4" s="17" t="s">
        <v>241</v>
      </c>
      <c r="C4" s="17" t="s">
        <v>111</v>
      </c>
      <c r="D4" s="17" t="s">
        <v>242</v>
      </c>
      <c r="E4" s="22">
        <v>100</v>
      </c>
      <c r="F4" s="15">
        <v>95.34</v>
      </c>
      <c r="G4" s="22">
        <v>97.98</v>
      </c>
      <c r="H4" s="15">
        <v>73.75</v>
      </c>
      <c r="I4" s="15"/>
      <c r="J4" s="15">
        <f t="shared" si="1"/>
        <v>293.32000000000005</v>
      </c>
    </row>
    <row r="5" spans="1:10" x14ac:dyDescent="0.3">
      <c r="A5">
        <f t="shared" si="0"/>
        <v>3</v>
      </c>
      <c r="B5" s="17" t="s">
        <v>244</v>
      </c>
      <c r="C5" s="17" t="s">
        <v>245</v>
      </c>
      <c r="D5" s="17" t="s">
        <v>242</v>
      </c>
      <c r="E5" s="22">
        <v>88.5</v>
      </c>
      <c r="F5" s="15">
        <v>94.56</v>
      </c>
      <c r="G5" s="22">
        <v>100</v>
      </c>
      <c r="H5" s="15">
        <v>96.53</v>
      </c>
      <c r="I5" s="15"/>
      <c r="J5" s="15">
        <f t="shared" si="1"/>
        <v>291.09000000000003</v>
      </c>
    </row>
    <row r="6" spans="1:10" x14ac:dyDescent="0.3">
      <c r="A6">
        <f t="shared" si="0"/>
        <v>4</v>
      </c>
      <c r="B6" s="14" t="s">
        <v>249</v>
      </c>
      <c r="C6" s="14" t="s">
        <v>61</v>
      </c>
      <c r="D6" s="14" t="s">
        <v>242</v>
      </c>
      <c r="E6" s="15">
        <v>53.4</v>
      </c>
      <c r="F6" s="15">
        <v>96.89</v>
      </c>
      <c r="G6" s="22">
        <v>98.99</v>
      </c>
      <c r="H6" s="15">
        <v>0</v>
      </c>
      <c r="I6" s="15"/>
      <c r="J6" s="15">
        <f t="shared" si="1"/>
        <v>249.28</v>
      </c>
    </row>
    <row r="7" spans="1:10" x14ac:dyDescent="0.3">
      <c r="A7">
        <f t="shared" si="0"/>
        <v>5</v>
      </c>
      <c r="B7" s="14" t="s">
        <v>248</v>
      </c>
      <c r="C7" s="14" t="s">
        <v>54</v>
      </c>
      <c r="D7" s="14" t="s">
        <v>242</v>
      </c>
      <c r="E7" s="15">
        <v>80.3</v>
      </c>
      <c r="F7" s="15">
        <v>62.33</v>
      </c>
      <c r="G7" s="22">
        <v>98.59</v>
      </c>
      <c r="H7" s="15">
        <v>0</v>
      </c>
      <c r="I7" s="15"/>
      <c r="J7" s="15">
        <f t="shared" si="1"/>
        <v>241.21999999999997</v>
      </c>
    </row>
    <row r="8" spans="1:10" x14ac:dyDescent="0.3">
      <c r="A8">
        <f t="shared" si="0"/>
        <v>6</v>
      </c>
      <c r="B8" s="17" t="s">
        <v>501</v>
      </c>
      <c r="C8" s="17" t="s">
        <v>19</v>
      </c>
      <c r="D8" s="17" t="s">
        <v>242</v>
      </c>
      <c r="E8" s="15">
        <v>0</v>
      </c>
      <c r="F8" s="15">
        <v>0</v>
      </c>
      <c r="G8" s="22">
        <v>88.91</v>
      </c>
      <c r="H8" s="15">
        <v>94.79</v>
      </c>
      <c r="I8" s="15"/>
      <c r="J8" s="15">
        <f t="shared" si="1"/>
        <v>183.7</v>
      </c>
    </row>
    <row r="9" spans="1:10" x14ac:dyDescent="0.3">
      <c r="A9">
        <f t="shared" si="0"/>
        <v>7</v>
      </c>
      <c r="B9" s="17" t="s">
        <v>755</v>
      </c>
      <c r="C9" s="17" t="s">
        <v>117</v>
      </c>
      <c r="D9" s="17" t="s">
        <v>242</v>
      </c>
      <c r="E9" s="15">
        <v>0</v>
      </c>
      <c r="F9" s="15">
        <v>0</v>
      </c>
      <c r="G9" s="22">
        <v>89.42</v>
      </c>
      <c r="H9" s="15">
        <v>82.63</v>
      </c>
      <c r="I9" s="15"/>
      <c r="J9" s="15">
        <f t="shared" si="1"/>
        <v>172.05</v>
      </c>
    </row>
    <row r="10" spans="1:10" x14ac:dyDescent="0.3">
      <c r="A10">
        <f t="shared" si="0"/>
        <v>8</v>
      </c>
      <c r="B10" s="17" t="s">
        <v>499</v>
      </c>
      <c r="C10" s="17" t="s">
        <v>46</v>
      </c>
      <c r="D10" s="17" t="s">
        <v>242</v>
      </c>
      <c r="E10" s="15">
        <v>0</v>
      </c>
      <c r="F10" s="15">
        <v>93.01</v>
      </c>
      <c r="G10" s="22">
        <v>73.19</v>
      </c>
      <c r="H10" s="15">
        <v>0</v>
      </c>
      <c r="I10" s="15"/>
      <c r="J10" s="15">
        <f t="shared" si="1"/>
        <v>166.2</v>
      </c>
    </row>
    <row r="11" spans="1:10" x14ac:dyDescent="0.3">
      <c r="A11">
        <f t="shared" si="0"/>
        <v>9</v>
      </c>
      <c r="B11" s="14" t="s">
        <v>250</v>
      </c>
      <c r="C11" s="14" t="s">
        <v>98</v>
      </c>
      <c r="D11" s="14" t="s">
        <v>242</v>
      </c>
      <c r="E11" s="15">
        <v>40.5</v>
      </c>
      <c r="F11" s="15">
        <v>78.06</v>
      </c>
      <c r="G11" s="22">
        <v>0</v>
      </c>
      <c r="H11" s="15">
        <v>0</v>
      </c>
      <c r="I11" s="15"/>
      <c r="J11" s="15">
        <f t="shared" si="1"/>
        <v>118.56</v>
      </c>
    </row>
    <row r="12" spans="1:10" x14ac:dyDescent="0.3">
      <c r="A12">
        <f t="shared" si="0"/>
        <v>10</v>
      </c>
      <c r="B12" s="17" t="s">
        <v>498</v>
      </c>
      <c r="C12" s="17" t="s">
        <v>495</v>
      </c>
      <c r="D12" s="17" t="s">
        <v>242</v>
      </c>
      <c r="E12" s="15">
        <v>0</v>
      </c>
      <c r="F12" s="15">
        <v>100</v>
      </c>
      <c r="G12" s="22">
        <v>0</v>
      </c>
      <c r="H12" s="15">
        <v>0</v>
      </c>
      <c r="I12" s="15"/>
      <c r="J12" s="15">
        <f t="shared" si="1"/>
        <v>100</v>
      </c>
    </row>
    <row r="13" spans="1:10" x14ac:dyDescent="0.3">
      <c r="A13">
        <f t="shared" si="0"/>
        <v>11</v>
      </c>
      <c r="B13" s="17" t="s">
        <v>243</v>
      </c>
      <c r="C13" s="17" t="s">
        <v>1</v>
      </c>
      <c r="D13" s="17" t="s">
        <v>242</v>
      </c>
      <c r="E13" s="22">
        <v>98.4</v>
      </c>
      <c r="F13" s="15">
        <v>0</v>
      </c>
      <c r="G13" s="22">
        <v>0</v>
      </c>
      <c r="H13" s="15">
        <v>0</v>
      </c>
      <c r="I13" s="15"/>
      <c r="J13" s="15">
        <f t="shared" si="1"/>
        <v>98.4</v>
      </c>
    </row>
    <row r="14" spans="1:10" x14ac:dyDescent="0.3">
      <c r="A14">
        <f t="shared" si="0"/>
        <v>12</v>
      </c>
      <c r="B14" s="17" t="s">
        <v>832</v>
      </c>
      <c r="C14" s="17" t="s">
        <v>1</v>
      </c>
      <c r="D14" s="17" t="s">
        <v>242</v>
      </c>
      <c r="E14" s="15">
        <v>0</v>
      </c>
      <c r="F14" s="15">
        <v>0</v>
      </c>
      <c r="G14" s="22">
        <v>96.37</v>
      </c>
      <c r="H14" s="15">
        <v>0</v>
      </c>
      <c r="I14" s="15"/>
      <c r="J14" s="15">
        <f t="shared" si="1"/>
        <v>96.37</v>
      </c>
    </row>
    <row r="15" spans="1:10" x14ac:dyDescent="0.3">
      <c r="A15">
        <f t="shared" si="0"/>
        <v>13</v>
      </c>
      <c r="B15" s="23" t="s">
        <v>754</v>
      </c>
      <c r="C15" s="23" t="s">
        <v>5</v>
      </c>
      <c r="D15" s="23" t="s">
        <v>242</v>
      </c>
      <c r="E15" s="15">
        <v>0</v>
      </c>
      <c r="F15" s="15">
        <v>0</v>
      </c>
      <c r="G15" s="22">
        <v>0</v>
      </c>
      <c r="H15" s="15">
        <v>94.98</v>
      </c>
      <c r="I15" s="15"/>
      <c r="J15" s="15">
        <f t="shared" si="1"/>
        <v>94.98</v>
      </c>
    </row>
    <row r="16" spans="1:10" x14ac:dyDescent="0.3">
      <c r="A16">
        <f t="shared" si="0"/>
        <v>14</v>
      </c>
      <c r="B16" s="23" t="s">
        <v>831</v>
      </c>
      <c r="C16" s="23" t="s">
        <v>2</v>
      </c>
      <c r="D16" s="23" t="s">
        <v>242</v>
      </c>
      <c r="E16" s="15">
        <v>0</v>
      </c>
      <c r="F16" s="15">
        <v>0</v>
      </c>
      <c r="G16" s="22">
        <v>93.04</v>
      </c>
      <c r="H16" s="15">
        <v>0</v>
      </c>
      <c r="I16" s="15"/>
      <c r="J16" s="15">
        <f t="shared" si="1"/>
        <v>93.04</v>
      </c>
    </row>
    <row r="17" spans="1:10" x14ac:dyDescent="0.3">
      <c r="A17">
        <f t="shared" si="0"/>
        <v>15</v>
      </c>
      <c r="B17" s="23" t="s">
        <v>314</v>
      </c>
      <c r="C17" s="23" t="s">
        <v>46</v>
      </c>
      <c r="D17" s="23" t="s">
        <v>242</v>
      </c>
      <c r="E17" s="15">
        <v>0</v>
      </c>
      <c r="F17" s="15">
        <v>0</v>
      </c>
      <c r="G17" s="22">
        <v>91.53</v>
      </c>
      <c r="H17" s="15">
        <v>0</v>
      </c>
      <c r="I17" s="15"/>
      <c r="J17" s="15">
        <f t="shared" si="1"/>
        <v>91.53</v>
      </c>
    </row>
    <row r="18" spans="1:10" x14ac:dyDescent="0.3">
      <c r="A18">
        <f t="shared" si="0"/>
        <v>16</v>
      </c>
      <c r="B18" s="32" t="s">
        <v>246</v>
      </c>
      <c r="C18" s="32" t="s">
        <v>19</v>
      </c>
      <c r="D18" s="32" t="s">
        <v>242</v>
      </c>
      <c r="E18" s="15">
        <v>86.6</v>
      </c>
      <c r="F18" s="15">
        <v>0</v>
      </c>
      <c r="G18" s="22">
        <v>0</v>
      </c>
      <c r="H18" s="15">
        <v>0</v>
      </c>
      <c r="I18" s="15"/>
      <c r="J18" s="15">
        <f t="shared" si="1"/>
        <v>86.6</v>
      </c>
    </row>
    <row r="19" spans="1:10" x14ac:dyDescent="0.3">
      <c r="A19">
        <f t="shared" si="0"/>
        <v>17</v>
      </c>
      <c r="B19" s="24" t="s">
        <v>526</v>
      </c>
      <c r="C19" s="24" t="s">
        <v>61</v>
      </c>
      <c r="D19" s="24" t="s">
        <v>242</v>
      </c>
      <c r="E19" s="15">
        <v>0</v>
      </c>
      <c r="F19" s="15">
        <v>0</v>
      </c>
      <c r="G19" s="22">
        <v>84.07</v>
      </c>
      <c r="H19" s="15">
        <v>0</v>
      </c>
      <c r="I19" s="15"/>
      <c r="J19" s="15">
        <f t="shared" si="1"/>
        <v>84.07</v>
      </c>
    </row>
    <row r="20" spans="1:10" x14ac:dyDescent="0.3">
      <c r="A20">
        <f t="shared" si="0"/>
        <v>18</v>
      </c>
      <c r="B20" s="24" t="s">
        <v>500</v>
      </c>
      <c r="C20" s="24" t="s">
        <v>4</v>
      </c>
      <c r="D20" s="24" t="s">
        <v>242</v>
      </c>
      <c r="E20" s="15">
        <v>0</v>
      </c>
      <c r="F20" s="15">
        <v>81.94</v>
      </c>
      <c r="G20" s="22">
        <v>0</v>
      </c>
      <c r="H20" s="15">
        <v>0</v>
      </c>
      <c r="I20" s="15"/>
      <c r="J20" s="15">
        <f t="shared" si="1"/>
        <v>81.94</v>
      </c>
    </row>
    <row r="21" spans="1:10" x14ac:dyDescent="0.3">
      <c r="A21">
        <f t="shared" si="0"/>
        <v>19</v>
      </c>
      <c r="B21" s="24" t="s">
        <v>756</v>
      </c>
      <c r="C21" s="24" t="s">
        <v>5</v>
      </c>
      <c r="D21" s="24" t="s">
        <v>242</v>
      </c>
      <c r="E21" s="15">
        <v>0</v>
      </c>
      <c r="F21" s="15">
        <v>0</v>
      </c>
      <c r="G21" s="22">
        <v>0</v>
      </c>
      <c r="H21" s="15">
        <v>78.19</v>
      </c>
      <c r="I21" s="15"/>
      <c r="J21" s="15">
        <f t="shared" si="1"/>
        <v>78.19</v>
      </c>
    </row>
    <row r="22" spans="1:10" x14ac:dyDescent="0.3">
      <c r="A22">
        <f t="shared" si="0"/>
        <v>20</v>
      </c>
      <c r="B22" s="39" t="s">
        <v>251</v>
      </c>
      <c r="C22" s="39" t="s">
        <v>2</v>
      </c>
      <c r="D22" s="39" t="s">
        <v>242</v>
      </c>
      <c r="E22" s="15">
        <v>11.8</v>
      </c>
      <c r="F22" s="15">
        <v>0</v>
      </c>
      <c r="G22" s="22">
        <v>28.53</v>
      </c>
      <c r="H22" s="15">
        <v>0</v>
      </c>
      <c r="I22" s="15"/>
      <c r="J22" s="15">
        <f t="shared" si="1"/>
        <v>40.33</v>
      </c>
    </row>
    <row r="23" spans="1:10" x14ac:dyDescent="0.3">
      <c r="A23">
        <f t="shared" si="0"/>
        <v>21</v>
      </c>
      <c r="B23" s="24" t="s">
        <v>830</v>
      </c>
      <c r="C23" s="24" t="s">
        <v>61</v>
      </c>
      <c r="D23" s="24" t="s">
        <v>242</v>
      </c>
      <c r="E23" s="15">
        <v>0</v>
      </c>
      <c r="F23" s="15">
        <v>0</v>
      </c>
      <c r="G23" s="22">
        <v>38.31</v>
      </c>
      <c r="H23" s="15">
        <v>0</v>
      </c>
      <c r="I23" s="15"/>
      <c r="J23" s="15">
        <f t="shared" si="1"/>
        <v>38.31</v>
      </c>
    </row>
    <row r="24" spans="1:10" x14ac:dyDescent="0.3">
      <c r="A24">
        <f t="shared" si="0"/>
        <v>22</v>
      </c>
      <c r="B24" s="39" t="s">
        <v>252</v>
      </c>
      <c r="C24" s="39" t="s">
        <v>245</v>
      </c>
      <c r="D24" s="39" t="s">
        <v>242</v>
      </c>
      <c r="E24" s="15">
        <v>0</v>
      </c>
      <c r="F24" s="15">
        <v>0</v>
      </c>
      <c r="G24" s="22">
        <v>0</v>
      </c>
      <c r="H24" s="15">
        <v>0</v>
      </c>
      <c r="I24" s="15"/>
      <c r="J24" s="15">
        <f t="shared" si="1"/>
        <v>0</v>
      </c>
    </row>
    <row r="25" spans="1:10" x14ac:dyDescent="0.3">
      <c r="A25">
        <f t="shared" si="0"/>
        <v>22</v>
      </c>
      <c r="B25" s="39" t="s">
        <v>253</v>
      </c>
      <c r="C25" s="39" t="s">
        <v>27</v>
      </c>
      <c r="D25" s="39" t="s">
        <v>242</v>
      </c>
      <c r="E25" s="15">
        <v>0</v>
      </c>
      <c r="F25" s="15">
        <v>0</v>
      </c>
      <c r="G25" s="22">
        <v>0</v>
      </c>
      <c r="H25" s="15">
        <v>0</v>
      </c>
      <c r="I25" s="15"/>
      <c r="J25" s="15">
        <f t="shared" si="1"/>
        <v>0</v>
      </c>
    </row>
    <row r="26" spans="1:10" x14ac:dyDescent="0.3">
      <c r="A26">
        <f t="shared" si="0"/>
        <v>22</v>
      </c>
      <c r="B26" s="39" t="s">
        <v>254</v>
      </c>
      <c r="C26" s="39" t="s">
        <v>4</v>
      </c>
      <c r="D26" s="39" t="s">
        <v>242</v>
      </c>
      <c r="E26" s="15">
        <v>0</v>
      </c>
      <c r="F26" s="15">
        <v>0</v>
      </c>
      <c r="G26" s="22">
        <v>0</v>
      </c>
      <c r="H26" s="15">
        <v>0</v>
      </c>
      <c r="I26" s="15"/>
      <c r="J26" s="15">
        <f t="shared" si="1"/>
        <v>0</v>
      </c>
    </row>
    <row r="27" spans="1:10" x14ac:dyDescent="0.3">
      <c r="A27">
        <f t="shared" si="0"/>
        <v>22</v>
      </c>
      <c r="B27" s="24" t="s">
        <v>316</v>
      </c>
      <c r="C27" s="24" t="s">
        <v>5</v>
      </c>
      <c r="D27" s="24" t="s">
        <v>242</v>
      </c>
      <c r="E27" s="15">
        <v>0</v>
      </c>
      <c r="F27" s="15">
        <v>0</v>
      </c>
      <c r="G27" s="22">
        <v>0</v>
      </c>
      <c r="H27" s="15">
        <v>0</v>
      </c>
      <c r="I27" s="15"/>
      <c r="J27" s="15">
        <f t="shared" si="1"/>
        <v>0</v>
      </c>
    </row>
    <row r="28" spans="1:10" x14ac:dyDescent="0.3">
      <c r="B28" s="24"/>
      <c r="C28" s="24"/>
      <c r="D28" s="24"/>
      <c r="E28" s="15"/>
      <c r="F28" s="15"/>
      <c r="G28" s="15"/>
      <c r="H28" s="15"/>
      <c r="I28" s="15"/>
      <c r="J28" s="15"/>
    </row>
    <row r="29" spans="1:10" x14ac:dyDescent="0.3">
      <c r="B29" s="24"/>
      <c r="C29" s="24"/>
      <c r="D29" s="24"/>
      <c r="E29" s="15"/>
      <c r="F29" s="15"/>
      <c r="G29" s="15"/>
      <c r="H29" s="15"/>
      <c r="I29" s="15"/>
      <c r="J29" s="15"/>
    </row>
    <row r="30" spans="1:10" x14ac:dyDescent="0.3">
      <c r="A30" s="1"/>
      <c r="B30" s="1"/>
      <c r="C30" s="1"/>
      <c r="D30" s="2"/>
      <c r="E30" s="10" t="s">
        <v>1</v>
      </c>
      <c r="F30" s="10" t="s">
        <v>4</v>
      </c>
      <c r="G30" s="10" t="s">
        <v>2</v>
      </c>
      <c r="H30" s="11" t="s">
        <v>12</v>
      </c>
      <c r="I30" s="10" t="s">
        <v>3</v>
      </c>
      <c r="J30" s="9" t="s">
        <v>6</v>
      </c>
    </row>
    <row r="31" spans="1:10" x14ac:dyDescent="0.3">
      <c r="A31" s="3" t="s">
        <v>379</v>
      </c>
      <c r="B31" s="3" t="s">
        <v>7</v>
      </c>
      <c r="C31" s="4" t="s">
        <v>8</v>
      </c>
      <c r="D31" s="4" t="s">
        <v>0</v>
      </c>
      <c r="E31" s="5" t="s">
        <v>9</v>
      </c>
      <c r="F31" s="6" t="s">
        <v>9</v>
      </c>
      <c r="G31" s="7" t="s">
        <v>9</v>
      </c>
      <c r="H31" s="7" t="s">
        <v>9</v>
      </c>
      <c r="I31" s="8" t="s">
        <v>9</v>
      </c>
      <c r="J31" s="8" t="s">
        <v>9</v>
      </c>
    </row>
    <row r="32" spans="1:10" x14ac:dyDescent="0.3">
      <c r="A32">
        <f t="shared" ref="A32:A63" si="2">RANK(J32,$J$32:$J$149)</f>
        <v>1</v>
      </c>
      <c r="B32" s="14" t="s">
        <v>268</v>
      </c>
      <c r="C32" s="14" t="s">
        <v>141</v>
      </c>
      <c r="D32" s="14" t="s">
        <v>256</v>
      </c>
      <c r="E32" s="15">
        <v>93.857965451055676</v>
      </c>
      <c r="F32" s="30">
        <v>96.07</v>
      </c>
      <c r="G32" s="22">
        <v>98.54</v>
      </c>
      <c r="H32" s="56">
        <v>99.81</v>
      </c>
      <c r="I32" s="50"/>
      <c r="J32" s="50">
        <f t="shared" ref="J32:J63" si="3">LARGE(E32:I32,1)+LARGE(E32:I32,2)+LARGE(E32:I32,3)</f>
        <v>294.42</v>
      </c>
    </row>
    <row r="33" spans="1:10" x14ac:dyDescent="0.3">
      <c r="A33">
        <f t="shared" si="2"/>
        <v>2</v>
      </c>
      <c r="B33" s="14" t="s">
        <v>262</v>
      </c>
      <c r="C33" s="14" t="s">
        <v>3</v>
      </c>
      <c r="D33" s="14" t="s">
        <v>256</v>
      </c>
      <c r="E33" s="15">
        <v>95.969289827255295</v>
      </c>
      <c r="F33" s="30">
        <v>99.44</v>
      </c>
      <c r="G33" s="22">
        <v>98.25</v>
      </c>
      <c r="H33" s="44">
        <v>0</v>
      </c>
      <c r="I33" s="50"/>
      <c r="J33" s="50">
        <f t="shared" si="3"/>
        <v>293.65928982725529</v>
      </c>
    </row>
    <row r="34" spans="1:10" x14ac:dyDescent="0.3">
      <c r="A34">
        <f t="shared" si="2"/>
        <v>3</v>
      </c>
      <c r="B34" s="14" t="s">
        <v>264</v>
      </c>
      <c r="C34" s="14" t="s">
        <v>141</v>
      </c>
      <c r="D34" s="14" t="s">
        <v>256</v>
      </c>
      <c r="E34" s="15">
        <v>95.009596928982731</v>
      </c>
      <c r="F34" s="30">
        <v>97.01</v>
      </c>
      <c r="G34" s="30">
        <v>99.61</v>
      </c>
      <c r="H34" s="44">
        <v>0</v>
      </c>
      <c r="I34" s="50"/>
      <c r="J34" s="50">
        <f t="shared" si="3"/>
        <v>291.62959692898272</v>
      </c>
    </row>
    <row r="35" spans="1:10" x14ac:dyDescent="0.3">
      <c r="A35">
        <f t="shared" si="2"/>
        <v>4</v>
      </c>
      <c r="B35" s="14" t="s">
        <v>267</v>
      </c>
      <c r="C35" s="14" t="s">
        <v>1</v>
      </c>
      <c r="D35" s="14" t="s">
        <v>256</v>
      </c>
      <c r="E35" s="15">
        <v>94.049904030710181</v>
      </c>
      <c r="F35" s="30">
        <v>96.64</v>
      </c>
      <c r="G35" s="22">
        <v>0</v>
      </c>
      <c r="H35" s="57">
        <v>99.42</v>
      </c>
      <c r="I35" s="50"/>
      <c r="J35" s="50">
        <f t="shared" si="3"/>
        <v>290.1099040307102</v>
      </c>
    </row>
    <row r="36" spans="1:10" x14ac:dyDescent="0.3">
      <c r="A36">
        <f t="shared" si="2"/>
        <v>5</v>
      </c>
      <c r="B36" s="14" t="s">
        <v>503</v>
      </c>
      <c r="C36" s="14" t="s">
        <v>19</v>
      </c>
      <c r="D36" s="14" t="s">
        <v>256</v>
      </c>
      <c r="E36" s="15">
        <v>0</v>
      </c>
      <c r="F36" s="15">
        <v>92.149532710280369</v>
      </c>
      <c r="G36" s="22">
        <v>97.27</v>
      </c>
      <c r="H36" s="56">
        <v>100</v>
      </c>
      <c r="I36" s="50"/>
      <c r="J36" s="50">
        <f t="shared" si="3"/>
        <v>289.41953271028035</v>
      </c>
    </row>
    <row r="37" spans="1:10" x14ac:dyDescent="0.3">
      <c r="A37">
        <f t="shared" si="2"/>
        <v>6</v>
      </c>
      <c r="B37" s="14" t="s">
        <v>277</v>
      </c>
      <c r="C37" s="14" t="s">
        <v>14</v>
      </c>
      <c r="D37" s="14" t="s">
        <v>256</v>
      </c>
      <c r="E37" s="15">
        <v>91.554702495201539</v>
      </c>
      <c r="F37" s="15">
        <v>0</v>
      </c>
      <c r="G37" s="22">
        <v>96.88</v>
      </c>
      <c r="H37" s="56">
        <v>99.62</v>
      </c>
      <c r="I37" s="50"/>
      <c r="J37" s="50">
        <f t="shared" si="3"/>
        <v>288.05470249520152</v>
      </c>
    </row>
    <row r="38" spans="1:10" x14ac:dyDescent="0.3">
      <c r="A38">
        <f t="shared" si="2"/>
        <v>7</v>
      </c>
      <c r="B38" s="14" t="s">
        <v>275</v>
      </c>
      <c r="C38" s="14" t="s">
        <v>117</v>
      </c>
      <c r="D38" s="14" t="s">
        <v>256</v>
      </c>
      <c r="E38" s="15">
        <v>92.034548944337828</v>
      </c>
      <c r="F38" s="15">
        <v>93.08</v>
      </c>
      <c r="G38" s="22">
        <v>95.03</v>
      </c>
      <c r="H38" s="44">
        <v>97.31</v>
      </c>
      <c r="I38" s="50"/>
      <c r="J38" s="50">
        <f t="shared" si="3"/>
        <v>285.42</v>
      </c>
    </row>
    <row r="39" spans="1:10" x14ac:dyDescent="0.3">
      <c r="A39">
        <f t="shared" si="2"/>
        <v>8</v>
      </c>
      <c r="B39" s="14" t="s">
        <v>281</v>
      </c>
      <c r="C39" s="14" t="s">
        <v>5</v>
      </c>
      <c r="D39" s="14" t="s">
        <v>256</v>
      </c>
      <c r="E39" s="15">
        <v>90.882917466410746</v>
      </c>
      <c r="F39" s="15">
        <v>0</v>
      </c>
      <c r="G39" s="22">
        <v>93.47</v>
      </c>
      <c r="H39" s="56">
        <v>98.85</v>
      </c>
      <c r="I39" s="50"/>
      <c r="J39" s="50">
        <f t="shared" si="3"/>
        <v>283.20291746641072</v>
      </c>
    </row>
    <row r="40" spans="1:10" x14ac:dyDescent="0.3">
      <c r="A40">
        <f t="shared" si="2"/>
        <v>9</v>
      </c>
      <c r="B40" s="14" t="s">
        <v>278</v>
      </c>
      <c r="C40" s="14" t="s">
        <v>61</v>
      </c>
      <c r="D40" s="14" t="s">
        <v>256</v>
      </c>
      <c r="E40" s="15">
        <v>91.266794625719783</v>
      </c>
      <c r="F40" s="15">
        <v>94.39</v>
      </c>
      <c r="G40" s="22">
        <v>93.76</v>
      </c>
      <c r="H40" s="44">
        <v>0</v>
      </c>
      <c r="I40" s="50"/>
      <c r="J40" s="50">
        <f t="shared" si="3"/>
        <v>279.41679462571977</v>
      </c>
    </row>
    <row r="41" spans="1:10" x14ac:dyDescent="0.3">
      <c r="A41">
        <f t="shared" si="2"/>
        <v>10</v>
      </c>
      <c r="B41" s="14" t="s">
        <v>294</v>
      </c>
      <c r="C41" s="14" t="s">
        <v>3</v>
      </c>
      <c r="D41" s="14" t="s">
        <v>256</v>
      </c>
      <c r="E41" s="15">
        <v>77.351247600767749</v>
      </c>
      <c r="F41" s="15">
        <v>94.02</v>
      </c>
      <c r="G41" s="22">
        <v>88.99</v>
      </c>
      <c r="H41" s="44">
        <v>94.63</v>
      </c>
      <c r="I41" s="50"/>
      <c r="J41" s="50">
        <f t="shared" si="3"/>
        <v>277.64</v>
      </c>
    </row>
    <row r="42" spans="1:10" x14ac:dyDescent="0.3">
      <c r="A42">
        <f t="shared" si="2"/>
        <v>11</v>
      </c>
      <c r="B42" s="14" t="s">
        <v>288</v>
      </c>
      <c r="C42" s="14" t="s">
        <v>12</v>
      </c>
      <c r="D42" s="14" t="s">
        <v>256</v>
      </c>
      <c r="E42" s="15">
        <v>89.539347408829187</v>
      </c>
      <c r="F42" s="15">
        <v>0</v>
      </c>
      <c r="G42" s="22">
        <v>90.35</v>
      </c>
      <c r="H42" s="44">
        <v>90.02</v>
      </c>
      <c r="I42" s="50"/>
      <c r="J42" s="50">
        <f t="shared" si="3"/>
        <v>269.90934740882921</v>
      </c>
    </row>
    <row r="43" spans="1:10" x14ac:dyDescent="0.3">
      <c r="A43">
        <f t="shared" si="2"/>
        <v>12</v>
      </c>
      <c r="B43" s="14" t="s">
        <v>291</v>
      </c>
      <c r="C43" s="14" t="s">
        <v>77</v>
      </c>
      <c r="D43" s="14" t="s">
        <v>256</v>
      </c>
      <c r="E43" s="15">
        <v>83.20537428023033</v>
      </c>
      <c r="F43" s="15">
        <v>94.39</v>
      </c>
      <c r="G43" s="22">
        <v>86.16</v>
      </c>
      <c r="H43" s="44">
        <v>0</v>
      </c>
      <c r="I43" s="50"/>
      <c r="J43" s="50">
        <f t="shared" si="3"/>
        <v>263.75537428023034</v>
      </c>
    </row>
    <row r="44" spans="1:10" x14ac:dyDescent="0.3">
      <c r="A44">
        <f t="shared" si="2"/>
        <v>13</v>
      </c>
      <c r="B44" s="14" t="s">
        <v>299</v>
      </c>
      <c r="C44" s="14" t="s">
        <v>117</v>
      </c>
      <c r="D44" s="14" t="s">
        <v>256</v>
      </c>
      <c r="E44" s="15">
        <v>65.547024952015363</v>
      </c>
      <c r="F44" s="15">
        <v>91.78</v>
      </c>
      <c r="G44" s="22">
        <v>88.43</v>
      </c>
      <c r="H44" s="44">
        <v>82.15</v>
      </c>
      <c r="I44" s="50"/>
      <c r="J44" s="50">
        <f t="shared" si="3"/>
        <v>262.36</v>
      </c>
    </row>
    <row r="45" spans="1:10" x14ac:dyDescent="0.3">
      <c r="A45">
        <f t="shared" si="2"/>
        <v>14</v>
      </c>
      <c r="B45" s="14" t="s">
        <v>301</v>
      </c>
      <c r="C45" s="14" t="s">
        <v>5</v>
      </c>
      <c r="D45" s="14" t="s">
        <v>256</v>
      </c>
      <c r="E45" s="15">
        <v>46.928982725527845</v>
      </c>
      <c r="F45" s="15">
        <v>77.760000000000005</v>
      </c>
      <c r="G45" s="22">
        <v>88.4</v>
      </c>
      <c r="H45" s="44">
        <v>95.01</v>
      </c>
      <c r="I45" s="50"/>
      <c r="J45" s="50">
        <f t="shared" si="3"/>
        <v>261.17</v>
      </c>
    </row>
    <row r="46" spans="1:10" x14ac:dyDescent="0.3">
      <c r="A46">
        <f t="shared" si="2"/>
        <v>15</v>
      </c>
      <c r="B46" s="14" t="s">
        <v>293</v>
      </c>
      <c r="C46" s="14" t="s">
        <v>160</v>
      </c>
      <c r="D46" s="14" t="s">
        <v>256</v>
      </c>
      <c r="E46" s="15">
        <v>82.629558541266803</v>
      </c>
      <c r="F46" s="15">
        <v>44.11</v>
      </c>
      <c r="G46" s="22">
        <v>90.35</v>
      </c>
      <c r="H46" s="44">
        <v>87.72</v>
      </c>
      <c r="I46" s="50"/>
      <c r="J46" s="50">
        <f t="shared" si="3"/>
        <v>260.69955854126681</v>
      </c>
    </row>
    <row r="47" spans="1:10" x14ac:dyDescent="0.3">
      <c r="A47">
        <f t="shared" si="2"/>
        <v>16</v>
      </c>
      <c r="B47" s="14" t="s">
        <v>305</v>
      </c>
      <c r="C47" s="14" t="s">
        <v>117</v>
      </c>
      <c r="D47" s="14" t="s">
        <v>256</v>
      </c>
      <c r="E47" s="15">
        <v>0</v>
      </c>
      <c r="F47" s="15">
        <v>72.150000000000006</v>
      </c>
      <c r="G47" s="22">
        <v>83.92</v>
      </c>
      <c r="H47" s="44">
        <v>93.09</v>
      </c>
      <c r="I47" s="50"/>
      <c r="J47" s="50">
        <f t="shared" si="3"/>
        <v>249.16</v>
      </c>
    </row>
    <row r="48" spans="1:10" x14ac:dyDescent="0.3">
      <c r="A48">
        <f t="shared" si="2"/>
        <v>17</v>
      </c>
      <c r="B48" s="14" t="s">
        <v>300</v>
      </c>
      <c r="C48" s="14" t="s">
        <v>160</v>
      </c>
      <c r="D48" s="14" t="s">
        <v>256</v>
      </c>
      <c r="E48" s="15">
        <v>47.312859884836854</v>
      </c>
      <c r="F48" s="15">
        <v>92.9</v>
      </c>
      <c r="G48" s="22">
        <v>0</v>
      </c>
      <c r="H48" s="44">
        <v>97.31</v>
      </c>
      <c r="I48" s="50"/>
      <c r="J48" s="50">
        <f t="shared" si="3"/>
        <v>237.52285988483686</v>
      </c>
    </row>
    <row r="49" spans="1:10" x14ac:dyDescent="0.3">
      <c r="A49">
        <f t="shared" si="2"/>
        <v>18</v>
      </c>
      <c r="B49" s="18" t="s">
        <v>523</v>
      </c>
      <c r="C49" s="18" t="s">
        <v>141</v>
      </c>
      <c r="D49" s="18" t="s">
        <v>256</v>
      </c>
      <c r="E49" s="15">
        <v>0</v>
      </c>
      <c r="F49" s="19">
        <v>100</v>
      </c>
      <c r="G49" s="30">
        <v>100</v>
      </c>
      <c r="H49" s="44">
        <v>0</v>
      </c>
      <c r="I49" s="50"/>
      <c r="J49" s="50">
        <f t="shared" si="3"/>
        <v>200</v>
      </c>
    </row>
    <row r="50" spans="1:10" x14ac:dyDescent="0.3">
      <c r="A50">
        <f t="shared" si="2"/>
        <v>19</v>
      </c>
      <c r="B50" s="14" t="s">
        <v>260</v>
      </c>
      <c r="C50" s="14" t="s">
        <v>35</v>
      </c>
      <c r="D50" s="14" t="s">
        <v>256</v>
      </c>
      <c r="E50" s="15">
        <v>96.64107485604606</v>
      </c>
      <c r="F50" s="15">
        <v>0</v>
      </c>
      <c r="G50" s="22">
        <v>99.03</v>
      </c>
      <c r="H50" s="44">
        <v>0</v>
      </c>
      <c r="I50" s="50"/>
      <c r="J50" s="50">
        <f t="shared" si="3"/>
        <v>195.67107485604606</v>
      </c>
    </row>
    <row r="51" spans="1:10" x14ac:dyDescent="0.3">
      <c r="A51">
        <f t="shared" si="2"/>
        <v>20</v>
      </c>
      <c r="B51" s="14" t="s">
        <v>270</v>
      </c>
      <c r="C51" s="14" t="s">
        <v>245</v>
      </c>
      <c r="D51" s="14" t="s">
        <v>256</v>
      </c>
      <c r="E51" s="15">
        <v>93.570057581573906</v>
      </c>
      <c r="F51" s="30">
        <v>99.44</v>
      </c>
      <c r="G51" s="22">
        <v>0</v>
      </c>
      <c r="H51" s="44">
        <v>0</v>
      </c>
      <c r="I51" s="50"/>
      <c r="J51" s="50">
        <f t="shared" si="3"/>
        <v>193.0100575815739</v>
      </c>
    </row>
    <row r="52" spans="1:10" x14ac:dyDescent="0.3">
      <c r="A52">
        <f t="shared" si="2"/>
        <v>21</v>
      </c>
      <c r="B52" s="45" t="s">
        <v>747</v>
      </c>
      <c r="C52" s="42" t="s">
        <v>61</v>
      </c>
      <c r="D52" s="14" t="s">
        <v>256</v>
      </c>
      <c r="E52" s="15">
        <v>0</v>
      </c>
      <c r="F52" s="15">
        <v>0</v>
      </c>
      <c r="G52" s="22">
        <v>95.22</v>
      </c>
      <c r="H52" s="15">
        <v>97.696737044145877</v>
      </c>
      <c r="I52" s="50"/>
      <c r="J52" s="50">
        <f t="shared" si="3"/>
        <v>192.91673704414586</v>
      </c>
    </row>
    <row r="53" spans="1:10" x14ac:dyDescent="0.3">
      <c r="A53">
        <f t="shared" si="2"/>
        <v>22</v>
      </c>
      <c r="B53" s="18" t="s">
        <v>514</v>
      </c>
      <c r="C53" s="18" t="s">
        <v>2</v>
      </c>
      <c r="D53" s="18" t="s">
        <v>256</v>
      </c>
      <c r="E53" s="15">
        <v>0</v>
      </c>
      <c r="F53" s="19">
        <v>96.635514018691595</v>
      </c>
      <c r="G53" s="22">
        <v>95.91</v>
      </c>
      <c r="H53" s="44">
        <v>0</v>
      </c>
      <c r="I53" s="50"/>
      <c r="J53" s="50">
        <f t="shared" si="3"/>
        <v>192.54551401869159</v>
      </c>
    </row>
    <row r="54" spans="1:10" x14ac:dyDescent="0.3">
      <c r="A54">
        <f t="shared" si="2"/>
        <v>23</v>
      </c>
      <c r="B54" s="18" t="s">
        <v>519</v>
      </c>
      <c r="C54" s="18" t="s">
        <v>19</v>
      </c>
      <c r="D54" s="18" t="s">
        <v>256</v>
      </c>
      <c r="E54" s="15">
        <v>0</v>
      </c>
      <c r="F54" s="19">
        <v>95.700934579439249</v>
      </c>
      <c r="G54" s="22">
        <v>96.78</v>
      </c>
      <c r="H54" s="44">
        <v>0</v>
      </c>
      <c r="I54" s="50"/>
      <c r="J54" s="50">
        <f t="shared" si="3"/>
        <v>192.48093457943924</v>
      </c>
    </row>
    <row r="55" spans="1:10" x14ac:dyDescent="0.3">
      <c r="A55">
        <f t="shared" si="2"/>
        <v>24</v>
      </c>
      <c r="B55" s="14" t="s">
        <v>265</v>
      </c>
      <c r="C55" s="14" t="s">
        <v>141</v>
      </c>
      <c r="D55" s="14" t="s">
        <v>256</v>
      </c>
      <c r="E55" s="15">
        <v>94.913627639155479</v>
      </c>
      <c r="F55" s="15">
        <v>0</v>
      </c>
      <c r="G55" s="22">
        <v>95.91</v>
      </c>
      <c r="H55" s="44">
        <v>0</v>
      </c>
      <c r="I55" s="50"/>
      <c r="J55" s="50">
        <f t="shared" si="3"/>
        <v>190.82362763915546</v>
      </c>
    </row>
    <row r="56" spans="1:10" x14ac:dyDescent="0.3">
      <c r="A56">
        <f t="shared" si="2"/>
        <v>25</v>
      </c>
      <c r="B56" s="14" t="s">
        <v>271</v>
      </c>
      <c r="C56" s="14" t="s">
        <v>117</v>
      </c>
      <c r="D56" s="14" t="s">
        <v>256</v>
      </c>
      <c r="E56" s="15">
        <v>0</v>
      </c>
      <c r="F56" s="30">
        <v>95.33</v>
      </c>
      <c r="G56" s="22">
        <v>94.83</v>
      </c>
      <c r="H56" s="44">
        <v>0</v>
      </c>
      <c r="I56" s="50"/>
      <c r="J56" s="50">
        <f t="shared" si="3"/>
        <v>190.16</v>
      </c>
    </row>
    <row r="57" spans="1:10" x14ac:dyDescent="0.3">
      <c r="A57">
        <f t="shared" si="2"/>
        <v>26</v>
      </c>
      <c r="B57" s="14" t="s">
        <v>234</v>
      </c>
      <c r="C57" s="14" t="s">
        <v>141</v>
      </c>
      <c r="D57" s="14" t="s">
        <v>256</v>
      </c>
      <c r="E57" s="15">
        <v>93.666026871401158</v>
      </c>
      <c r="F57" s="15">
        <v>0</v>
      </c>
      <c r="G57" s="22">
        <v>95.42</v>
      </c>
      <c r="H57" s="44">
        <v>0</v>
      </c>
      <c r="I57" s="50"/>
      <c r="J57" s="50">
        <f t="shared" si="3"/>
        <v>189.08602687140115</v>
      </c>
    </row>
    <row r="58" spans="1:10" x14ac:dyDescent="0.3">
      <c r="A58">
        <f t="shared" si="2"/>
        <v>27</v>
      </c>
      <c r="B58" s="18" t="s">
        <v>521</v>
      </c>
      <c r="C58" s="18" t="s">
        <v>495</v>
      </c>
      <c r="D58" s="18" t="s">
        <v>256</v>
      </c>
      <c r="E58" s="15">
        <v>0</v>
      </c>
      <c r="F58" s="15">
        <v>94.392523364485982</v>
      </c>
      <c r="G58" s="22">
        <v>93.66</v>
      </c>
      <c r="H58" s="44">
        <v>0</v>
      </c>
      <c r="I58" s="50"/>
      <c r="J58" s="50">
        <f t="shared" si="3"/>
        <v>188.05252336448598</v>
      </c>
    </row>
    <row r="59" spans="1:10" x14ac:dyDescent="0.3">
      <c r="A59">
        <f t="shared" si="2"/>
        <v>28</v>
      </c>
      <c r="B59" s="14" t="s">
        <v>273</v>
      </c>
      <c r="C59" s="14" t="s">
        <v>111</v>
      </c>
      <c r="D59" s="14" t="s">
        <v>256</v>
      </c>
      <c r="E59" s="15">
        <v>92.514395393474103</v>
      </c>
      <c r="F59" s="15">
        <v>0</v>
      </c>
      <c r="G59" s="22">
        <v>93.76</v>
      </c>
      <c r="H59" s="44">
        <v>0</v>
      </c>
      <c r="I59" s="50"/>
      <c r="J59" s="50">
        <f t="shared" si="3"/>
        <v>186.27439539347409</v>
      </c>
    </row>
    <row r="60" spans="1:10" x14ac:dyDescent="0.3">
      <c r="A60">
        <f t="shared" si="2"/>
        <v>29</v>
      </c>
      <c r="B60" s="14" t="s">
        <v>525</v>
      </c>
      <c r="C60" s="14" t="s">
        <v>141</v>
      </c>
      <c r="D60" s="14" t="s">
        <v>256</v>
      </c>
      <c r="E60" s="15">
        <v>0</v>
      </c>
      <c r="F60" s="15">
        <v>92.710280373831779</v>
      </c>
      <c r="G60" s="22">
        <v>93.27</v>
      </c>
      <c r="H60" s="44">
        <v>0</v>
      </c>
      <c r="I60" s="50"/>
      <c r="J60" s="50">
        <f t="shared" si="3"/>
        <v>185.98028037383176</v>
      </c>
    </row>
    <row r="61" spans="1:10" x14ac:dyDescent="0.3">
      <c r="A61">
        <f t="shared" si="2"/>
        <v>30</v>
      </c>
      <c r="B61" s="45" t="s">
        <v>745</v>
      </c>
      <c r="C61" s="42" t="s">
        <v>46</v>
      </c>
      <c r="D61" s="14" t="s">
        <v>256</v>
      </c>
      <c r="E61" s="15">
        <v>0</v>
      </c>
      <c r="F61" s="15">
        <v>0</v>
      </c>
      <c r="G61" s="22">
        <v>89.38</v>
      </c>
      <c r="H61" s="15">
        <v>96.545105566218822</v>
      </c>
      <c r="I61" s="50"/>
      <c r="J61" s="50">
        <f t="shared" si="3"/>
        <v>185.9251055662188</v>
      </c>
    </row>
    <row r="62" spans="1:10" x14ac:dyDescent="0.3">
      <c r="A62">
        <f t="shared" si="2"/>
        <v>31</v>
      </c>
      <c r="B62" s="14" t="s">
        <v>263</v>
      </c>
      <c r="C62" s="14" t="s">
        <v>111</v>
      </c>
      <c r="D62" s="14" t="s">
        <v>256</v>
      </c>
      <c r="E62" s="15">
        <v>95.489443378119006</v>
      </c>
      <c r="F62" s="15">
        <v>90.28</v>
      </c>
      <c r="G62" s="22">
        <v>0</v>
      </c>
      <c r="H62" s="44">
        <v>0</v>
      </c>
      <c r="I62" s="50"/>
      <c r="J62" s="50">
        <f t="shared" si="3"/>
        <v>185.76944337811901</v>
      </c>
    </row>
    <row r="63" spans="1:10" x14ac:dyDescent="0.3">
      <c r="A63">
        <f t="shared" si="2"/>
        <v>32</v>
      </c>
      <c r="B63" s="14" t="s">
        <v>502</v>
      </c>
      <c r="C63" s="14" t="s">
        <v>35</v>
      </c>
      <c r="D63" s="14" t="s">
        <v>256</v>
      </c>
      <c r="E63" s="15">
        <v>0</v>
      </c>
      <c r="F63" s="15">
        <v>92.523364485981304</v>
      </c>
      <c r="G63" s="22">
        <v>90.35</v>
      </c>
      <c r="H63" s="44">
        <v>0</v>
      </c>
      <c r="I63" s="50"/>
      <c r="J63" s="50">
        <f t="shared" si="3"/>
        <v>182.87336448598131</v>
      </c>
    </row>
    <row r="64" spans="1:10" x14ac:dyDescent="0.3">
      <c r="A64">
        <f t="shared" ref="A64:A95" si="4">RANK(J64,$J$32:$J$149)</f>
        <v>33</v>
      </c>
      <c r="B64" s="45" t="s">
        <v>746</v>
      </c>
      <c r="C64" s="42" t="s">
        <v>3</v>
      </c>
      <c r="D64" s="14" t="s">
        <v>256</v>
      </c>
      <c r="E64" s="15">
        <v>0</v>
      </c>
      <c r="F64" s="15">
        <v>0</v>
      </c>
      <c r="G64" s="22">
        <v>90.35</v>
      </c>
      <c r="H64" s="15">
        <v>92.322456813819585</v>
      </c>
      <c r="I64" s="50"/>
      <c r="J64" s="50">
        <f t="shared" ref="J64:J95" si="5">LARGE(E64:I64,1)+LARGE(E64:I64,2)+LARGE(E64:I64,3)</f>
        <v>182.67245681381957</v>
      </c>
    </row>
    <row r="65" spans="1:10" x14ac:dyDescent="0.3">
      <c r="A65">
        <f t="shared" si="4"/>
        <v>34</v>
      </c>
      <c r="B65" s="14" t="s">
        <v>289</v>
      </c>
      <c r="C65" s="14" t="s">
        <v>12</v>
      </c>
      <c r="D65" s="14" t="s">
        <v>256</v>
      </c>
      <c r="E65" s="15">
        <v>88.483685220729356</v>
      </c>
      <c r="F65" s="15">
        <v>0</v>
      </c>
      <c r="G65" s="22">
        <v>0</v>
      </c>
      <c r="H65" s="44">
        <v>92.9</v>
      </c>
      <c r="I65" s="50"/>
      <c r="J65" s="50">
        <f t="shared" si="5"/>
        <v>181.38368522072938</v>
      </c>
    </row>
    <row r="66" spans="1:10" x14ac:dyDescent="0.3">
      <c r="A66">
        <f t="shared" si="4"/>
        <v>35</v>
      </c>
      <c r="B66" s="14" t="s">
        <v>286</v>
      </c>
      <c r="C66" s="14" t="s">
        <v>27</v>
      </c>
      <c r="D66" s="14" t="s">
        <v>256</v>
      </c>
      <c r="E66" s="15">
        <v>89.827255278310943</v>
      </c>
      <c r="F66" s="15">
        <v>90.09</v>
      </c>
      <c r="G66" s="22">
        <v>0</v>
      </c>
      <c r="H66" s="44">
        <v>0</v>
      </c>
      <c r="I66" s="50"/>
      <c r="J66" s="50">
        <f t="shared" si="5"/>
        <v>179.91725527831096</v>
      </c>
    </row>
    <row r="67" spans="1:10" x14ac:dyDescent="0.3">
      <c r="A67">
        <f t="shared" si="4"/>
        <v>36</v>
      </c>
      <c r="B67" s="14" t="s">
        <v>284</v>
      </c>
      <c r="C67" s="14" t="s">
        <v>12</v>
      </c>
      <c r="D67" s="14" t="s">
        <v>256</v>
      </c>
      <c r="E67" s="15">
        <v>90.499040307101737</v>
      </c>
      <c r="F67" s="15">
        <v>89.16</v>
      </c>
      <c r="G67" s="22">
        <v>0</v>
      </c>
      <c r="H67" s="44">
        <v>0</v>
      </c>
      <c r="I67" s="50"/>
      <c r="J67" s="50">
        <f t="shared" si="5"/>
        <v>179.65904030710175</v>
      </c>
    </row>
    <row r="68" spans="1:10" x14ac:dyDescent="0.3">
      <c r="A68">
        <f t="shared" si="4"/>
        <v>37</v>
      </c>
      <c r="B68" s="18" t="s">
        <v>369</v>
      </c>
      <c r="C68" s="18" t="s">
        <v>1</v>
      </c>
      <c r="D68" s="18" t="s">
        <v>256</v>
      </c>
      <c r="E68" s="15">
        <v>0</v>
      </c>
      <c r="F68" s="15">
        <v>74.766355140186917</v>
      </c>
      <c r="G68" s="22">
        <v>0</v>
      </c>
      <c r="H68" s="44">
        <v>76.78</v>
      </c>
      <c r="I68" s="50"/>
      <c r="J68" s="50">
        <f t="shared" si="5"/>
        <v>151.5463551401869</v>
      </c>
    </row>
    <row r="69" spans="1:10" x14ac:dyDescent="0.3">
      <c r="A69">
        <f t="shared" si="4"/>
        <v>38</v>
      </c>
      <c r="B69" s="14" t="s">
        <v>287</v>
      </c>
      <c r="C69" s="14" t="s">
        <v>117</v>
      </c>
      <c r="D69" s="14" t="s">
        <v>256</v>
      </c>
      <c r="E69" s="15">
        <v>89.539347408829187</v>
      </c>
      <c r="F69" s="15">
        <v>48.971962616822438</v>
      </c>
      <c r="G69" s="22">
        <v>0</v>
      </c>
      <c r="H69" s="44">
        <v>0</v>
      </c>
      <c r="I69" s="50"/>
      <c r="J69" s="50">
        <f t="shared" si="5"/>
        <v>138.51131002565162</v>
      </c>
    </row>
    <row r="70" spans="1:10" x14ac:dyDescent="0.3">
      <c r="A70">
        <f t="shared" si="4"/>
        <v>39</v>
      </c>
      <c r="B70" s="14" t="s">
        <v>302</v>
      </c>
      <c r="C70" s="14" t="s">
        <v>4</v>
      </c>
      <c r="D70" s="14" t="s">
        <v>256</v>
      </c>
      <c r="E70" s="15">
        <v>45.969289827255281</v>
      </c>
      <c r="F70" s="15">
        <v>0</v>
      </c>
      <c r="G70" s="22">
        <v>0</v>
      </c>
      <c r="H70" s="44">
        <v>90.98</v>
      </c>
      <c r="I70" s="50"/>
      <c r="J70" s="50">
        <f t="shared" si="5"/>
        <v>136.94928982725528</v>
      </c>
    </row>
    <row r="71" spans="1:10" x14ac:dyDescent="0.3">
      <c r="A71">
        <f t="shared" si="4"/>
        <v>40</v>
      </c>
      <c r="B71" s="18" t="s">
        <v>255</v>
      </c>
      <c r="C71" s="18" t="s">
        <v>35</v>
      </c>
      <c r="D71" s="20" t="s">
        <v>256</v>
      </c>
      <c r="E71" s="19">
        <v>100</v>
      </c>
      <c r="F71" s="15">
        <v>0</v>
      </c>
      <c r="G71" s="22">
        <v>0</v>
      </c>
      <c r="H71" s="44">
        <v>0</v>
      </c>
      <c r="I71" s="50"/>
      <c r="J71" s="50">
        <f t="shared" si="5"/>
        <v>100</v>
      </c>
    </row>
    <row r="72" spans="1:10" x14ac:dyDescent="0.3">
      <c r="A72">
        <f t="shared" si="4"/>
        <v>40</v>
      </c>
      <c r="B72" s="43" t="s">
        <v>837</v>
      </c>
      <c r="C72" s="43" t="s">
        <v>495</v>
      </c>
      <c r="D72" s="43" t="s">
        <v>256</v>
      </c>
      <c r="E72" s="15">
        <v>0</v>
      </c>
      <c r="F72" s="15">
        <v>0</v>
      </c>
      <c r="G72" s="19">
        <v>100</v>
      </c>
      <c r="H72" s="44">
        <v>0</v>
      </c>
      <c r="J72" s="50">
        <f t="shared" si="5"/>
        <v>100</v>
      </c>
    </row>
    <row r="73" spans="1:10" x14ac:dyDescent="0.3">
      <c r="A73">
        <f t="shared" si="4"/>
        <v>42</v>
      </c>
      <c r="B73" s="45" t="s">
        <v>533</v>
      </c>
      <c r="C73" s="42" t="s">
        <v>495</v>
      </c>
      <c r="D73" s="42" t="s">
        <v>256</v>
      </c>
      <c r="E73" s="15">
        <v>0</v>
      </c>
      <c r="F73" s="15">
        <v>0</v>
      </c>
      <c r="G73" s="15">
        <v>98.245614035087726</v>
      </c>
      <c r="H73" s="44">
        <v>0</v>
      </c>
      <c r="J73" s="50">
        <f t="shared" si="5"/>
        <v>98.245614035087726</v>
      </c>
    </row>
    <row r="74" spans="1:10" x14ac:dyDescent="0.3">
      <c r="A74">
        <f t="shared" si="4"/>
        <v>43</v>
      </c>
      <c r="B74" s="18" t="s">
        <v>510</v>
      </c>
      <c r="C74" s="18" t="s">
        <v>4</v>
      </c>
      <c r="D74" s="18" t="s">
        <v>256</v>
      </c>
      <c r="E74" s="15">
        <v>0</v>
      </c>
      <c r="F74" s="19">
        <v>97.757009345794387</v>
      </c>
      <c r="G74" s="22">
        <v>0</v>
      </c>
      <c r="H74" s="44">
        <v>0</v>
      </c>
      <c r="I74" s="50"/>
      <c r="J74" s="50">
        <f t="shared" si="5"/>
        <v>97.757009345794387</v>
      </c>
    </row>
    <row r="75" spans="1:10" x14ac:dyDescent="0.3">
      <c r="A75">
        <f t="shared" si="4"/>
        <v>44</v>
      </c>
      <c r="B75" s="45" t="s">
        <v>325</v>
      </c>
      <c r="C75" s="42" t="s">
        <v>35</v>
      </c>
      <c r="D75" s="14" t="s">
        <v>256</v>
      </c>
      <c r="E75" s="15">
        <v>0</v>
      </c>
      <c r="F75" s="15">
        <v>0</v>
      </c>
      <c r="G75" s="22">
        <v>97.56</v>
      </c>
      <c r="H75" s="15">
        <v>0</v>
      </c>
      <c r="I75" s="50"/>
      <c r="J75" s="50">
        <f t="shared" si="5"/>
        <v>97.56</v>
      </c>
    </row>
    <row r="76" spans="1:10" x14ac:dyDescent="0.3">
      <c r="A76">
        <f t="shared" si="4"/>
        <v>45</v>
      </c>
      <c r="B76" s="45" t="s">
        <v>833</v>
      </c>
      <c r="C76" s="42" t="s">
        <v>495</v>
      </c>
      <c r="D76" s="42" t="s">
        <v>256</v>
      </c>
      <c r="E76" s="15">
        <v>0</v>
      </c>
      <c r="F76" s="15">
        <v>0</v>
      </c>
      <c r="G76" s="15">
        <v>97.076023391812868</v>
      </c>
      <c r="H76" s="44">
        <v>0</v>
      </c>
      <c r="J76" s="50">
        <f t="shared" si="5"/>
        <v>97.076023391812868</v>
      </c>
    </row>
    <row r="77" spans="1:10" x14ac:dyDescent="0.3">
      <c r="A77">
        <f t="shared" si="4"/>
        <v>46</v>
      </c>
      <c r="B77" s="18" t="s">
        <v>257</v>
      </c>
      <c r="C77" s="18" t="s">
        <v>258</v>
      </c>
      <c r="D77" s="20" t="s">
        <v>256</v>
      </c>
      <c r="E77" s="15">
        <v>96.928982725527845</v>
      </c>
      <c r="F77" s="15">
        <v>0</v>
      </c>
      <c r="G77" s="22">
        <v>0</v>
      </c>
      <c r="H77" s="44">
        <v>0</v>
      </c>
      <c r="I77" s="50"/>
      <c r="J77" s="50">
        <f t="shared" si="5"/>
        <v>96.928982725527845</v>
      </c>
    </row>
    <row r="78" spans="1:10" x14ac:dyDescent="0.3">
      <c r="A78">
        <f t="shared" si="4"/>
        <v>46</v>
      </c>
      <c r="B78" s="18" t="s">
        <v>259</v>
      </c>
      <c r="C78" s="18" t="s">
        <v>59</v>
      </c>
      <c r="D78" s="20" t="s">
        <v>256</v>
      </c>
      <c r="E78" s="15">
        <v>96.928982725527845</v>
      </c>
      <c r="F78" s="15">
        <v>0</v>
      </c>
      <c r="G78" s="22">
        <v>0</v>
      </c>
      <c r="H78" s="44">
        <v>0</v>
      </c>
      <c r="I78" s="50"/>
      <c r="J78" s="50">
        <f t="shared" si="5"/>
        <v>96.928982725527845</v>
      </c>
    </row>
    <row r="79" spans="1:10" x14ac:dyDescent="0.3">
      <c r="A79">
        <f t="shared" si="4"/>
        <v>48</v>
      </c>
      <c r="B79" s="14" t="s">
        <v>308</v>
      </c>
      <c r="C79" s="14" t="s">
        <v>59</v>
      </c>
      <c r="D79" s="14" t="s">
        <v>256</v>
      </c>
      <c r="E79" s="15">
        <v>0</v>
      </c>
      <c r="F79" s="30">
        <v>96.64</v>
      </c>
      <c r="G79" s="22">
        <v>0</v>
      </c>
      <c r="H79" s="44">
        <v>0</v>
      </c>
      <c r="I79" s="50"/>
      <c r="J79" s="50">
        <f t="shared" si="5"/>
        <v>96.64</v>
      </c>
    </row>
    <row r="80" spans="1:10" x14ac:dyDescent="0.3">
      <c r="A80">
        <f t="shared" si="4"/>
        <v>49</v>
      </c>
      <c r="B80" s="45" t="s">
        <v>751</v>
      </c>
      <c r="C80" s="42" t="s">
        <v>12</v>
      </c>
      <c r="D80" s="14" t="s">
        <v>256</v>
      </c>
      <c r="E80" s="15">
        <v>0</v>
      </c>
      <c r="F80" s="15">
        <v>0</v>
      </c>
      <c r="G80" s="22">
        <v>0</v>
      </c>
      <c r="H80" s="15">
        <v>96.353166986564304</v>
      </c>
      <c r="I80" s="50"/>
      <c r="J80" s="50">
        <f t="shared" si="5"/>
        <v>96.353166986564304</v>
      </c>
    </row>
    <row r="81" spans="1:10" x14ac:dyDescent="0.3">
      <c r="A81">
        <f t="shared" si="4"/>
        <v>50</v>
      </c>
      <c r="B81" s="14" t="s">
        <v>261</v>
      </c>
      <c r="C81" s="14" t="s">
        <v>59</v>
      </c>
      <c r="D81" s="14" t="s">
        <v>256</v>
      </c>
      <c r="E81" s="15">
        <v>96.257197696737066</v>
      </c>
      <c r="F81" s="15">
        <v>0</v>
      </c>
      <c r="G81" s="22">
        <v>0</v>
      </c>
      <c r="H81" s="44">
        <v>0</v>
      </c>
      <c r="I81" s="50"/>
      <c r="J81" s="50">
        <f t="shared" si="5"/>
        <v>96.257197696737066</v>
      </c>
    </row>
    <row r="82" spans="1:10" x14ac:dyDescent="0.3">
      <c r="A82">
        <f t="shared" si="4"/>
        <v>51</v>
      </c>
      <c r="B82" s="45" t="s">
        <v>560</v>
      </c>
      <c r="C82" s="42" t="s">
        <v>19</v>
      </c>
      <c r="D82" s="14" t="s">
        <v>256</v>
      </c>
      <c r="E82" s="15">
        <v>0</v>
      </c>
      <c r="F82" s="15">
        <v>0</v>
      </c>
      <c r="G82" s="22">
        <v>0</v>
      </c>
      <c r="H82" s="15">
        <v>95.969289827255295</v>
      </c>
      <c r="I82" s="50"/>
      <c r="J82" s="50">
        <f t="shared" si="5"/>
        <v>95.969289827255295</v>
      </c>
    </row>
    <row r="83" spans="1:10" x14ac:dyDescent="0.3">
      <c r="A83">
        <f t="shared" si="4"/>
        <v>52</v>
      </c>
      <c r="B83" s="18" t="s">
        <v>505</v>
      </c>
      <c r="C83" s="18" t="s">
        <v>456</v>
      </c>
      <c r="D83" s="18" t="s">
        <v>256</v>
      </c>
      <c r="E83" s="15">
        <v>0</v>
      </c>
      <c r="F83" s="19">
        <v>95.514018691588788</v>
      </c>
      <c r="G83" s="22">
        <v>0</v>
      </c>
      <c r="H83" s="44">
        <v>0</v>
      </c>
      <c r="I83" s="50"/>
      <c r="J83" s="50">
        <f t="shared" si="5"/>
        <v>95.514018691588788</v>
      </c>
    </row>
    <row r="84" spans="1:10" x14ac:dyDescent="0.3">
      <c r="A84">
        <f t="shared" si="4"/>
        <v>53</v>
      </c>
      <c r="B84" s="45" t="s">
        <v>535</v>
      </c>
      <c r="C84" s="42" t="s">
        <v>495</v>
      </c>
      <c r="D84" s="42" t="s">
        <v>256</v>
      </c>
      <c r="E84" s="15">
        <v>0</v>
      </c>
      <c r="F84" s="15">
        <v>0</v>
      </c>
      <c r="G84" s="15">
        <v>95.22417153996102</v>
      </c>
      <c r="H84" s="44">
        <v>0</v>
      </c>
      <c r="J84" s="50">
        <f t="shared" si="5"/>
        <v>95.22417153996102</v>
      </c>
    </row>
    <row r="85" spans="1:10" x14ac:dyDescent="0.3">
      <c r="A85">
        <f t="shared" si="4"/>
        <v>54</v>
      </c>
      <c r="B85" s="14" t="s">
        <v>266</v>
      </c>
      <c r="C85" s="14" t="s">
        <v>19</v>
      </c>
      <c r="D85" s="14" t="s">
        <v>256</v>
      </c>
      <c r="E85" s="15">
        <v>94.241842610364699</v>
      </c>
      <c r="F85" s="15">
        <v>0</v>
      </c>
      <c r="G85" s="22">
        <v>0</v>
      </c>
      <c r="H85" s="44">
        <v>0</v>
      </c>
      <c r="I85" s="50"/>
      <c r="J85" s="50">
        <f t="shared" si="5"/>
        <v>94.241842610364699</v>
      </c>
    </row>
    <row r="86" spans="1:10" x14ac:dyDescent="0.3">
      <c r="A86">
        <f t="shared" si="4"/>
        <v>55</v>
      </c>
      <c r="B86" s="45" t="s">
        <v>844</v>
      </c>
      <c r="C86" s="42" t="s">
        <v>2</v>
      </c>
      <c r="D86" s="42" t="s">
        <v>256</v>
      </c>
      <c r="E86" s="15">
        <v>0</v>
      </c>
      <c r="F86" s="15">
        <v>0</v>
      </c>
      <c r="G86" s="15">
        <v>94.152046783625735</v>
      </c>
      <c r="H86" s="44">
        <v>0</v>
      </c>
      <c r="J86" s="50">
        <f t="shared" si="5"/>
        <v>94.152046783625735</v>
      </c>
    </row>
    <row r="87" spans="1:10" x14ac:dyDescent="0.3">
      <c r="A87">
        <f t="shared" si="4"/>
        <v>56</v>
      </c>
      <c r="B87" s="14" t="s">
        <v>269</v>
      </c>
      <c r="C87" s="14" t="s">
        <v>12</v>
      </c>
      <c r="D87" s="14" t="s">
        <v>256</v>
      </c>
      <c r="E87" s="15">
        <v>93.857965451055676</v>
      </c>
      <c r="F87" s="15">
        <v>0</v>
      </c>
      <c r="G87" s="22">
        <v>0</v>
      </c>
      <c r="H87" s="44">
        <v>0</v>
      </c>
      <c r="I87" s="50"/>
      <c r="J87" s="50">
        <f t="shared" si="5"/>
        <v>93.857965451055676</v>
      </c>
    </row>
    <row r="88" spans="1:10" x14ac:dyDescent="0.3">
      <c r="A88">
        <f t="shared" si="4"/>
        <v>57</v>
      </c>
      <c r="B88" s="14" t="s">
        <v>313</v>
      </c>
      <c r="C88" s="14" t="s">
        <v>131</v>
      </c>
      <c r="D88" s="14" t="s">
        <v>256</v>
      </c>
      <c r="E88" s="15">
        <v>0</v>
      </c>
      <c r="F88" s="15">
        <v>0</v>
      </c>
      <c r="G88" s="22">
        <v>92.88</v>
      </c>
      <c r="H88" s="44">
        <v>0</v>
      </c>
      <c r="I88" s="50"/>
      <c r="J88" s="50">
        <f t="shared" si="5"/>
        <v>92.88</v>
      </c>
    </row>
    <row r="89" spans="1:10" x14ac:dyDescent="0.3">
      <c r="A89">
        <f t="shared" si="4"/>
        <v>58</v>
      </c>
      <c r="B89" s="18" t="s">
        <v>506</v>
      </c>
      <c r="C89" s="18" t="s">
        <v>77</v>
      </c>
      <c r="D89" s="18" t="s">
        <v>256</v>
      </c>
      <c r="E89" s="15">
        <v>0</v>
      </c>
      <c r="F89" s="15">
        <v>92.710280373831779</v>
      </c>
      <c r="G89" s="22">
        <v>0</v>
      </c>
      <c r="H89" s="44">
        <v>0</v>
      </c>
      <c r="I89" s="50"/>
      <c r="J89" s="50">
        <f t="shared" si="5"/>
        <v>92.710280373831779</v>
      </c>
    </row>
    <row r="90" spans="1:10" x14ac:dyDescent="0.3">
      <c r="A90">
        <f t="shared" si="4"/>
        <v>59</v>
      </c>
      <c r="B90" s="45" t="s">
        <v>835</v>
      </c>
      <c r="C90" s="42" t="s">
        <v>117</v>
      </c>
      <c r="D90" s="42" t="s">
        <v>256</v>
      </c>
      <c r="E90" s="15">
        <v>0</v>
      </c>
      <c r="F90" s="15">
        <v>0</v>
      </c>
      <c r="G90" s="15">
        <v>92.592592592592595</v>
      </c>
      <c r="H90" s="44">
        <v>0</v>
      </c>
      <c r="J90" s="50">
        <f t="shared" si="5"/>
        <v>92.592592592592595</v>
      </c>
    </row>
    <row r="91" spans="1:10" x14ac:dyDescent="0.3">
      <c r="A91">
        <f t="shared" si="4"/>
        <v>60</v>
      </c>
      <c r="B91" s="18" t="s">
        <v>511</v>
      </c>
      <c r="C91" s="18" t="s">
        <v>141</v>
      </c>
      <c r="D91" s="18" t="s">
        <v>256</v>
      </c>
      <c r="E91" s="15">
        <v>0</v>
      </c>
      <c r="F91" s="15">
        <v>92.523364485981304</v>
      </c>
      <c r="G91" s="22">
        <v>0</v>
      </c>
      <c r="H91" s="44">
        <v>0</v>
      </c>
      <c r="I91" s="50"/>
      <c r="J91" s="50">
        <f t="shared" si="5"/>
        <v>92.523364485981304</v>
      </c>
    </row>
    <row r="92" spans="1:10" x14ac:dyDescent="0.3">
      <c r="A92">
        <f t="shared" si="4"/>
        <v>61</v>
      </c>
      <c r="B92" s="14" t="s">
        <v>272</v>
      </c>
      <c r="C92" s="14" t="s">
        <v>126</v>
      </c>
      <c r="D92" s="14" t="s">
        <v>256</v>
      </c>
      <c r="E92" s="15">
        <v>92.514395393474103</v>
      </c>
      <c r="F92" s="15">
        <v>0</v>
      </c>
      <c r="G92" s="22">
        <v>0</v>
      </c>
      <c r="H92" s="44">
        <v>0</v>
      </c>
      <c r="I92" s="50"/>
      <c r="J92" s="50">
        <f t="shared" si="5"/>
        <v>92.514395393474103</v>
      </c>
    </row>
    <row r="93" spans="1:10" x14ac:dyDescent="0.3">
      <c r="A93">
        <f t="shared" si="4"/>
        <v>62</v>
      </c>
      <c r="B93" s="14" t="s">
        <v>274</v>
      </c>
      <c r="C93" s="14" t="s">
        <v>1</v>
      </c>
      <c r="D93" s="14" t="s">
        <v>256</v>
      </c>
      <c r="E93" s="15">
        <v>92.322456813819571</v>
      </c>
      <c r="F93" s="15">
        <v>0</v>
      </c>
      <c r="G93" s="22">
        <v>0</v>
      </c>
      <c r="H93" s="44">
        <v>0</v>
      </c>
      <c r="I93" s="50"/>
      <c r="J93" s="50">
        <f t="shared" si="5"/>
        <v>92.322456813819571</v>
      </c>
    </row>
    <row r="94" spans="1:10" x14ac:dyDescent="0.3">
      <c r="A94">
        <f t="shared" si="4"/>
        <v>63</v>
      </c>
      <c r="B94" s="14" t="s">
        <v>276</v>
      </c>
      <c r="C94" s="14" t="s">
        <v>131</v>
      </c>
      <c r="D94" s="14" t="s">
        <v>256</v>
      </c>
      <c r="E94" s="15">
        <v>91.93857965451059</v>
      </c>
      <c r="F94" s="15">
        <v>0</v>
      </c>
      <c r="G94" s="22">
        <v>0</v>
      </c>
      <c r="H94" s="44">
        <v>0</v>
      </c>
      <c r="I94" s="50"/>
      <c r="J94" s="50">
        <f t="shared" si="5"/>
        <v>91.93857965451059</v>
      </c>
    </row>
    <row r="95" spans="1:10" x14ac:dyDescent="0.3">
      <c r="A95">
        <f t="shared" si="4"/>
        <v>64</v>
      </c>
      <c r="B95" s="45" t="s">
        <v>842</v>
      </c>
      <c r="C95" s="42" t="s">
        <v>2</v>
      </c>
      <c r="D95" s="42" t="s">
        <v>256</v>
      </c>
      <c r="E95" s="15">
        <v>0</v>
      </c>
      <c r="F95" s="15">
        <v>0</v>
      </c>
      <c r="G95" s="15">
        <v>91.812865497076032</v>
      </c>
      <c r="H95" s="44">
        <v>0</v>
      </c>
      <c r="J95" s="50">
        <f t="shared" si="5"/>
        <v>91.812865497076032</v>
      </c>
    </row>
    <row r="96" spans="1:10" x14ac:dyDescent="0.3">
      <c r="A96">
        <f t="shared" ref="A96:A127" si="6">RANK(J96,$J$32:$J$149)</f>
        <v>65</v>
      </c>
      <c r="B96" s="45" t="s">
        <v>556</v>
      </c>
      <c r="C96" s="42" t="s">
        <v>12</v>
      </c>
      <c r="D96" s="14" t="s">
        <v>256</v>
      </c>
      <c r="E96" s="15">
        <v>0</v>
      </c>
      <c r="F96" s="15">
        <v>0</v>
      </c>
      <c r="G96" s="22">
        <v>0</v>
      </c>
      <c r="H96" s="15">
        <v>91.362763915547021</v>
      </c>
      <c r="I96" s="50"/>
      <c r="J96" s="50">
        <f t="shared" ref="J96:J127" si="7">LARGE(E96:I96,1)+LARGE(E96:I96,2)+LARGE(E96:I96,3)</f>
        <v>91.362763915547021</v>
      </c>
    </row>
    <row r="97" spans="1:10" x14ac:dyDescent="0.3">
      <c r="A97">
        <f t="shared" si="6"/>
        <v>66</v>
      </c>
      <c r="B97" s="14" t="s">
        <v>279</v>
      </c>
      <c r="C97" s="14" t="s">
        <v>1</v>
      </c>
      <c r="D97" s="14" t="s">
        <v>256</v>
      </c>
      <c r="E97" s="15">
        <v>91.17082533589253</v>
      </c>
      <c r="F97" s="15">
        <v>0</v>
      </c>
      <c r="G97" s="22">
        <v>0</v>
      </c>
      <c r="H97" s="44">
        <v>0</v>
      </c>
      <c r="I97" s="50"/>
      <c r="J97" s="50">
        <f t="shared" si="7"/>
        <v>91.17082533589253</v>
      </c>
    </row>
    <row r="98" spans="1:10" x14ac:dyDescent="0.3">
      <c r="A98">
        <f t="shared" si="6"/>
        <v>67</v>
      </c>
      <c r="B98" s="14" t="s">
        <v>280</v>
      </c>
      <c r="C98" s="14" t="s">
        <v>27</v>
      </c>
      <c r="D98" s="14" t="s">
        <v>256</v>
      </c>
      <c r="E98" s="15">
        <v>91.074856046065264</v>
      </c>
      <c r="F98" s="15">
        <v>0</v>
      </c>
      <c r="G98" s="22">
        <v>0</v>
      </c>
      <c r="H98" s="44">
        <v>0</v>
      </c>
      <c r="I98" s="50"/>
      <c r="J98" s="50">
        <f t="shared" si="7"/>
        <v>91.074856046065264</v>
      </c>
    </row>
    <row r="99" spans="1:10" x14ac:dyDescent="0.3">
      <c r="A99">
        <f t="shared" si="6"/>
        <v>68</v>
      </c>
      <c r="B99" s="14" t="s">
        <v>282</v>
      </c>
      <c r="C99" s="14" t="s">
        <v>12</v>
      </c>
      <c r="D99" s="14" t="s">
        <v>256</v>
      </c>
      <c r="E99" s="15">
        <v>90.786948176583508</v>
      </c>
      <c r="F99" s="15">
        <v>0</v>
      </c>
      <c r="G99" s="22">
        <v>0</v>
      </c>
      <c r="H99" s="44">
        <v>0</v>
      </c>
      <c r="I99" s="50"/>
      <c r="J99" s="50">
        <f t="shared" si="7"/>
        <v>90.786948176583508</v>
      </c>
    </row>
    <row r="100" spans="1:10" x14ac:dyDescent="0.3">
      <c r="A100">
        <f t="shared" si="6"/>
        <v>68</v>
      </c>
      <c r="B100" s="14" t="s">
        <v>283</v>
      </c>
      <c r="C100" s="14" t="s">
        <v>46</v>
      </c>
      <c r="D100" s="14" t="s">
        <v>256</v>
      </c>
      <c r="E100" s="15">
        <v>90.786948176583508</v>
      </c>
      <c r="F100" s="15">
        <v>0</v>
      </c>
      <c r="G100" s="22">
        <v>0</v>
      </c>
      <c r="H100" s="44">
        <v>0</v>
      </c>
      <c r="I100" s="50"/>
      <c r="J100" s="50">
        <f t="shared" si="7"/>
        <v>90.786948176583508</v>
      </c>
    </row>
    <row r="101" spans="1:10" x14ac:dyDescent="0.3">
      <c r="A101">
        <f t="shared" si="6"/>
        <v>70</v>
      </c>
      <c r="B101" s="14" t="s">
        <v>285</v>
      </c>
      <c r="C101" s="14" t="s">
        <v>77</v>
      </c>
      <c r="D101" s="14" t="s">
        <v>256</v>
      </c>
      <c r="E101" s="15">
        <v>90.115163147792714</v>
      </c>
      <c r="F101" s="15">
        <v>0</v>
      </c>
      <c r="G101" s="22">
        <v>0</v>
      </c>
      <c r="H101" s="44">
        <v>0</v>
      </c>
      <c r="I101" s="50"/>
      <c r="J101" s="50">
        <f t="shared" si="7"/>
        <v>90.115163147792714</v>
      </c>
    </row>
    <row r="102" spans="1:10" x14ac:dyDescent="0.3">
      <c r="A102">
        <f t="shared" si="6"/>
        <v>71</v>
      </c>
      <c r="B102" s="14" t="s">
        <v>290</v>
      </c>
      <c r="C102" s="14" t="s">
        <v>1</v>
      </c>
      <c r="D102" s="14" t="s">
        <v>256</v>
      </c>
      <c r="E102" s="15">
        <v>87.715930902111339</v>
      </c>
      <c r="F102" s="15">
        <v>0</v>
      </c>
      <c r="G102" s="22">
        <v>0</v>
      </c>
      <c r="H102" s="44">
        <v>0</v>
      </c>
      <c r="I102" s="50"/>
      <c r="J102" s="50">
        <f t="shared" si="7"/>
        <v>87.715930902111339</v>
      </c>
    </row>
    <row r="103" spans="1:10" x14ac:dyDescent="0.3">
      <c r="A103">
        <f t="shared" si="6"/>
        <v>72</v>
      </c>
      <c r="B103" s="45" t="s">
        <v>540</v>
      </c>
      <c r="C103" s="42" t="s">
        <v>495</v>
      </c>
      <c r="D103" s="42" t="s">
        <v>256</v>
      </c>
      <c r="E103" s="15">
        <v>0</v>
      </c>
      <c r="F103" s="15">
        <v>0</v>
      </c>
      <c r="G103" s="15">
        <v>87.037037037037038</v>
      </c>
      <c r="H103" s="44">
        <v>0</v>
      </c>
      <c r="J103" s="50">
        <f t="shared" si="7"/>
        <v>87.037037037037038</v>
      </c>
    </row>
    <row r="104" spans="1:10" x14ac:dyDescent="0.3">
      <c r="A104">
        <f t="shared" si="6"/>
        <v>73</v>
      </c>
      <c r="B104" s="45" t="s">
        <v>748</v>
      </c>
      <c r="C104" s="42" t="s">
        <v>27</v>
      </c>
      <c r="D104" s="14" t="s">
        <v>256</v>
      </c>
      <c r="E104" s="15">
        <v>0</v>
      </c>
      <c r="F104" s="15">
        <v>0</v>
      </c>
      <c r="G104" s="22">
        <v>0</v>
      </c>
      <c r="H104" s="15">
        <v>85.604606525911706</v>
      </c>
      <c r="I104" s="50"/>
      <c r="J104" s="50">
        <f t="shared" si="7"/>
        <v>85.604606525911706</v>
      </c>
    </row>
    <row r="105" spans="1:10" x14ac:dyDescent="0.3">
      <c r="A105">
        <f t="shared" si="6"/>
        <v>74</v>
      </c>
      <c r="B105" s="18" t="s">
        <v>524</v>
      </c>
      <c r="C105" s="18" t="s">
        <v>160</v>
      </c>
      <c r="D105" s="18" t="s">
        <v>256</v>
      </c>
      <c r="E105" s="15">
        <v>0</v>
      </c>
      <c r="F105" s="15">
        <v>83.738317757009341</v>
      </c>
      <c r="G105" s="22">
        <v>0</v>
      </c>
      <c r="H105" s="44">
        <v>0</v>
      </c>
      <c r="I105" s="50"/>
      <c r="J105" s="50">
        <f t="shared" si="7"/>
        <v>83.738317757009341</v>
      </c>
    </row>
    <row r="106" spans="1:10" x14ac:dyDescent="0.3">
      <c r="A106">
        <f t="shared" si="6"/>
        <v>75</v>
      </c>
      <c r="B106" s="14" t="s">
        <v>292</v>
      </c>
      <c r="C106" s="14" t="s">
        <v>141</v>
      </c>
      <c r="D106" s="14" t="s">
        <v>256</v>
      </c>
      <c r="E106" s="15">
        <v>83.013435700575826</v>
      </c>
      <c r="F106" s="15">
        <v>0</v>
      </c>
      <c r="G106" s="22">
        <v>0</v>
      </c>
      <c r="H106" s="44">
        <v>0</v>
      </c>
      <c r="I106" s="50"/>
      <c r="J106" s="50">
        <f t="shared" si="7"/>
        <v>83.013435700575826</v>
      </c>
    </row>
    <row r="107" spans="1:10" x14ac:dyDescent="0.3">
      <c r="A107">
        <f t="shared" si="6"/>
        <v>76</v>
      </c>
      <c r="B107" s="45" t="s">
        <v>358</v>
      </c>
      <c r="C107" s="42" t="s">
        <v>141</v>
      </c>
      <c r="D107" s="14" t="s">
        <v>256</v>
      </c>
      <c r="E107" s="15">
        <v>0</v>
      </c>
      <c r="F107" s="15">
        <v>0</v>
      </c>
      <c r="G107" s="22">
        <v>0</v>
      </c>
      <c r="H107" s="15">
        <v>82.149712092130528</v>
      </c>
      <c r="I107" s="50"/>
      <c r="J107" s="50">
        <f t="shared" si="7"/>
        <v>82.149712092130528</v>
      </c>
    </row>
    <row r="108" spans="1:10" x14ac:dyDescent="0.3">
      <c r="A108">
        <f t="shared" si="6"/>
        <v>77</v>
      </c>
      <c r="B108" s="45" t="s">
        <v>840</v>
      </c>
      <c r="C108" s="42" t="s">
        <v>59</v>
      </c>
      <c r="D108" s="42" t="s">
        <v>256</v>
      </c>
      <c r="E108" s="15">
        <v>0</v>
      </c>
      <c r="F108" s="15">
        <v>0</v>
      </c>
      <c r="G108" s="15">
        <v>79.824561403508781</v>
      </c>
      <c r="H108" s="44">
        <v>0</v>
      </c>
      <c r="J108" s="50">
        <f t="shared" si="7"/>
        <v>79.824561403508781</v>
      </c>
    </row>
    <row r="109" spans="1:10" x14ac:dyDescent="0.3">
      <c r="A109">
        <f t="shared" si="6"/>
        <v>78</v>
      </c>
      <c r="B109" s="18" t="s">
        <v>515</v>
      </c>
      <c r="C109" s="18" t="s">
        <v>12</v>
      </c>
      <c r="D109" s="18" t="s">
        <v>256</v>
      </c>
      <c r="E109" s="15">
        <v>0</v>
      </c>
      <c r="F109" s="15">
        <v>77.943925233644862</v>
      </c>
      <c r="G109" s="22">
        <v>0</v>
      </c>
      <c r="H109" s="44">
        <v>0</v>
      </c>
      <c r="I109" s="50"/>
      <c r="J109" s="50">
        <f t="shared" si="7"/>
        <v>77.943925233644862</v>
      </c>
    </row>
    <row r="110" spans="1:10" x14ac:dyDescent="0.3">
      <c r="A110">
        <f t="shared" si="6"/>
        <v>79</v>
      </c>
      <c r="B110" s="14" t="s">
        <v>295</v>
      </c>
      <c r="C110" s="14" t="s">
        <v>27</v>
      </c>
      <c r="D110" s="14" t="s">
        <v>256</v>
      </c>
      <c r="E110" s="15">
        <v>75.04798464491364</v>
      </c>
      <c r="F110" s="15">
        <v>0</v>
      </c>
      <c r="G110" s="22">
        <v>0</v>
      </c>
      <c r="H110" s="44">
        <v>0</v>
      </c>
      <c r="I110" s="50"/>
      <c r="J110" s="50">
        <f t="shared" si="7"/>
        <v>75.04798464491364</v>
      </c>
    </row>
    <row r="111" spans="1:10" x14ac:dyDescent="0.3">
      <c r="A111">
        <f t="shared" si="6"/>
        <v>80</v>
      </c>
      <c r="B111" s="45" t="s">
        <v>841</v>
      </c>
      <c r="C111" s="42" t="s">
        <v>61</v>
      </c>
      <c r="D111" s="42" t="s">
        <v>256</v>
      </c>
      <c r="E111" s="15">
        <v>0</v>
      </c>
      <c r="F111" s="15">
        <v>0</v>
      </c>
      <c r="G111" s="15">
        <v>72.319688109161802</v>
      </c>
      <c r="H111" s="44">
        <v>0</v>
      </c>
      <c r="J111" s="50">
        <f t="shared" si="7"/>
        <v>72.319688109161802</v>
      </c>
    </row>
    <row r="112" spans="1:10" x14ac:dyDescent="0.3">
      <c r="A112">
        <f t="shared" si="6"/>
        <v>81</v>
      </c>
      <c r="B112" s="14" t="s">
        <v>296</v>
      </c>
      <c r="C112" s="14" t="s">
        <v>12</v>
      </c>
      <c r="D112" s="14" t="s">
        <v>256</v>
      </c>
      <c r="E112" s="15">
        <v>68.426103646833027</v>
      </c>
      <c r="F112" s="15">
        <v>0</v>
      </c>
      <c r="G112" s="22">
        <v>0</v>
      </c>
      <c r="H112" s="44">
        <v>0</v>
      </c>
      <c r="I112" s="50"/>
      <c r="J112" s="50">
        <f t="shared" si="7"/>
        <v>68.426103646833027</v>
      </c>
    </row>
    <row r="113" spans="1:10" x14ac:dyDescent="0.3">
      <c r="A113">
        <f t="shared" si="6"/>
        <v>82</v>
      </c>
      <c r="B113" s="14" t="s">
        <v>297</v>
      </c>
      <c r="C113" s="14" t="s">
        <v>2</v>
      </c>
      <c r="D113" s="14" t="s">
        <v>256</v>
      </c>
      <c r="E113" s="15">
        <v>68.042226487524005</v>
      </c>
      <c r="F113" s="15">
        <v>0</v>
      </c>
      <c r="G113" s="22">
        <v>0</v>
      </c>
      <c r="H113" s="44">
        <v>0</v>
      </c>
      <c r="I113" s="50"/>
      <c r="J113" s="50">
        <f t="shared" si="7"/>
        <v>68.042226487524005</v>
      </c>
    </row>
    <row r="114" spans="1:10" x14ac:dyDescent="0.3">
      <c r="A114">
        <f t="shared" si="6"/>
        <v>83</v>
      </c>
      <c r="B114" s="14" t="s">
        <v>298</v>
      </c>
      <c r="C114" s="14" t="s">
        <v>1</v>
      </c>
      <c r="D114" s="14" t="s">
        <v>256</v>
      </c>
      <c r="E114" s="15">
        <v>67.850287907869486</v>
      </c>
      <c r="F114" s="15">
        <v>0</v>
      </c>
      <c r="G114" s="22">
        <v>0</v>
      </c>
      <c r="H114" s="44">
        <v>0</v>
      </c>
      <c r="I114" s="50"/>
      <c r="J114" s="50">
        <f t="shared" si="7"/>
        <v>67.850287907869486</v>
      </c>
    </row>
    <row r="115" spans="1:10" x14ac:dyDescent="0.3">
      <c r="A115">
        <f t="shared" si="6"/>
        <v>84</v>
      </c>
      <c r="B115" s="14" t="s">
        <v>504</v>
      </c>
      <c r="C115" s="14" t="s">
        <v>98</v>
      </c>
      <c r="D115" s="14" t="s">
        <v>256</v>
      </c>
      <c r="E115" s="15">
        <v>0</v>
      </c>
      <c r="F115" s="15">
        <v>52.523364485981311</v>
      </c>
      <c r="G115" s="22">
        <v>0</v>
      </c>
      <c r="H115" s="44">
        <v>0</v>
      </c>
      <c r="I115" s="50"/>
      <c r="J115" s="50">
        <f t="shared" si="7"/>
        <v>52.523364485981311</v>
      </c>
    </row>
    <row r="116" spans="1:10" x14ac:dyDescent="0.3">
      <c r="A116">
        <f t="shared" si="6"/>
        <v>85</v>
      </c>
      <c r="B116" s="18" t="s">
        <v>508</v>
      </c>
      <c r="C116" s="18" t="s">
        <v>27</v>
      </c>
      <c r="D116" s="18" t="s">
        <v>256</v>
      </c>
      <c r="E116" s="15">
        <v>0</v>
      </c>
      <c r="F116" s="15">
        <v>46.915887850467293</v>
      </c>
      <c r="G116" s="22">
        <v>0</v>
      </c>
      <c r="H116" s="44">
        <v>0</v>
      </c>
      <c r="I116" s="50"/>
      <c r="J116" s="50">
        <f t="shared" si="7"/>
        <v>46.915887850467293</v>
      </c>
    </row>
    <row r="117" spans="1:10" x14ac:dyDescent="0.3">
      <c r="A117">
        <f t="shared" si="6"/>
        <v>86</v>
      </c>
      <c r="B117" s="45" t="s">
        <v>749</v>
      </c>
      <c r="C117" s="42" t="s">
        <v>12</v>
      </c>
      <c r="D117" s="14" t="s">
        <v>256</v>
      </c>
      <c r="E117" s="15">
        <v>0</v>
      </c>
      <c r="F117" s="15">
        <v>0</v>
      </c>
      <c r="G117" s="22">
        <v>0</v>
      </c>
      <c r="H117" s="15">
        <v>39.53934740882918</v>
      </c>
      <c r="I117" s="50"/>
      <c r="J117" s="50">
        <f t="shared" si="7"/>
        <v>39.53934740882918</v>
      </c>
    </row>
    <row r="118" spans="1:10" x14ac:dyDescent="0.3">
      <c r="A118">
        <f t="shared" si="6"/>
        <v>87</v>
      </c>
      <c r="B118" s="14" t="s">
        <v>303</v>
      </c>
      <c r="C118" s="14" t="s">
        <v>27</v>
      </c>
      <c r="D118" s="14" t="s">
        <v>256</v>
      </c>
      <c r="E118" s="15">
        <v>38.963531669865645</v>
      </c>
      <c r="F118" s="15">
        <v>0</v>
      </c>
      <c r="G118" s="22">
        <v>0</v>
      </c>
      <c r="H118" s="44">
        <v>0</v>
      </c>
      <c r="I118" s="50"/>
      <c r="J118" s="50">
        <f t="shared" si="7"/>
        <v>38.963531669865645</v>
      </c>
    </row>
    <row r="119" spans="1:10" x14ac:dyDescent="0.3">
      <c r="A119">
        <f t="shared" si="6"/>
        <v>88</v>
      </c>
      <c r="B119" s="45" t="s">
        <v>356</v>
      </c>
      <c r="C119" s="42" t="s">
        <v>14</v>
      </c>
      <c r="D119" s="42" t="s">
        <v>256</v>
      </c>
      <c r="E119" s="15">
        <v>0</v>
      </c>
      <c r="F119" s="15">
        <v>0</v>
      </c>
      <c r="G119" s="15">
        <v>31.28654970760234</v>
      </c>
      <c r="H119" s="44">
        <v>0</v>
      </c>
      <c r="J119" s="50">
        <f t="shared" si="7"/>
        <v>31.28654970760234</v>
      </c>
    </row>
    <row r="120" spans="1:10" x14ac:dyDescent="0.3">
      <c r="A120">
        <f t="shared" si="6"/>
        <v>89</v>
      </c>
      <c r="B120" s="45" t="s">
        <v>370</v>
      </c>
      <c r="C120" s="42" t="s">
        <v>1</v>
      </c>
      <c r="D120" s="14" t="s">
        <v>256</v>
      </c>
      <c r="E120" s="15">
        <v>0</v>
      </c>
      <c r="F120" s="15">
        <v>0</v>
      </c>
      <c r="G120" s="22">
        <v>0</v>
      </c>
      <c r="H120" s="15">
        <v>22.072936660268716</v>
      </c>
      <c r="I120" s="50"/>
      <c r="J120" s="50">
        <f t="shared" si="7"/>
        <v>22.072936660268716</v>
      </c>
    </row>
    <row r="121" spans="1:10" x14ac:dyDescent="0.3">
      <c r="A121">
        <f t="shared" si="6"/>
        <v>90</v>
      </c>
      <c r="B121" s="14" t="s">
        <v>304</v>
      </c>
      <c r="C121" s="14" t="s">
        <v>77</v>
      </c>
      <c r="D121" s="14" t="s">
        <v>256</v>
      </c>
      <c r="E121" s="15">
        <v>16.12284069097889</v>
      </c>
      <c r="F121" s="15">
        <v>0</v>
      </c>
      <c r="G121" s="22">
        <v>0</v>
      </c>
      <c r="H121" s="44">
        <v>0</v>
      </c>
      <c r="I121" s="50"/>
      <c r="J121" s="50">
        <f t="shared" si="7"/>
        <v>16.12284069097889</v>
      </c>
    </row>
    <row r="122" spans="1:10" x14ac:dyDescent="0.3">
      <c r="A122">
        <f t="shared" si="6"/>
        <v>91</v>
      </c>
      <c r="B122" s="45" t="s">
        <v>834</v>
      </c>
      <c r="C122" s="42" t="s">
        <v>3</v>
      </c>
      <c r="D122" s="42" t="s">
        <v>256</v>
      </c>
      <c r="E122" s="15">
        <v>0</v>
      </c>
      <c r="F122" s="15">
        <v>0</v>
      </c>
      <c r="G122" s="15">
        <v>4.2884990253411317</v>
      </c>
      <c r="H122" s="44">
        <v>0</v>
      </c>
      <c r="J122" s="50">
        <f t="shared" si="7"/>
        <v>4.2884990253411317</v>
      </c>
    </row>
    <row r="123" spans="1:10" x14ac:dyDescent="0.3">
      <c r="A123">
        <f t="shared" si="6"/>
        <v>92</v>
      </c>
      <c r="B123" s="14" t="s">
        <v>307</v>
      </c>
      <c r="C123" s="14" t="s">
        <v>12</v>
      </c>
      <c r="D123" s="14" t="s">
        <v>256</v>
      </c>
      <c r="E123" s="15">
        <v>0</v>
      </c>
      <c r="F123" s="15">
        <v>0</v>
      </c>
      <c r="G123" s="22">
        <v>0</v>
      </c>
      <c r="H123" s="44">
        <v>0</v>
      </c>
      <c r="I123" s="50"/>
      <c r="J123" s="50">
        <f t="shared" si="7"/>
        <v>0</v>
      </c>
    </row>
    <row r="124" spans="1:10" x14ac:dyDescent="0.3">
      <c r="A124">
        <f t="shared" si="6"/>
        <v>92</v>
      </c>
      <c r="B124" s="45" t="s">
        <v>744</v>
      </c>
      <c r="C124" s="42" t="s">
        <v>727</v>
      </c>
      <c r="D124" s="14" t="s">
        <v>256</v>
      </c>
      <c r="E124" s="15">
        <v>0</v>
      </c>
      <c r="F124" s="15">
        <v>0</v>
      </c>
      <c r="G124" s="22">
        <v>0</v>
      </c>
      <c r="H124" s="15">
        <v>0</v>
      </c>
      <c r="I124" s="50"/>
      <c r="J124" s="50">
        <f t="shared" si="7"/>
        <v>0</v>
      </c>
    </row>
    <row r="125" spans="1:10" x14ac:dyDescent="0.3">
      <c r="A125">
        <f t="shared" si="6"/>
        <v>92</v>
      </c>
      <c r="B125" s="18" t="s">
        <v>507</v>
      </c>
      <c r="C125" s="18" t="s">
        <v>19</v>
      </c>
      <c r="D125" s="18" t="s">
        <v>256</v>
      </c>
      <c r="E125" s="15">
        <v>0</v>
      </c>
      <c r="F125" s="58">
        <v>0</v>
      </c>
      <c r="G125" s="22">
        <v>0</v>
      </c>
      <c r="H125" s="44">
        <v>0</v>
      </c>
      <c r="I125" s="50"/>
      <c r="J125" s="50">
        <f t="shared" si="7"/>
        <v>0</v>
      </c>
    </row>
    <row r="126" spans="1:10" x14ac:dyDescent="0.3">
      <c r="A126">
        <f t="shared" si="6"/>
        <v>92</v>
      </c>
      <c r="B126" s="14" t="s">
        <v>218</v>
      </c>
      <c r="C126" s="14" t="s">
        <v>4</v>
      </c>
      <c r="D126" s="14" t="s">
        <v>256</v>
      </c>
      <c r="E126" s="15">
        <v>0</v>
      </c>
      <c r="F126" s="15">
        <v>0</v>
      </c>
      <c r="G126" s="22">
        <v>0</v>
      </c>
      <c r="H126" s="44">
        <v>0</v>
      </c>
      <c r="I126" s="50"/>
      <c r="J126" s="50">
        <f t="shared" si="7"/>
        <v>0</v>
      </c>
    </row>
    <row r="127" spans="1:10" x14ac:dyDescent="0.3">
      <c r="A127">
        <f t="shared" si="6"/>
        <v>92</v>
      </c>
      <c r="B127" s="18" t="s">
        <v>509</v>
      </c>
      <c r="C127" s="18" t="s">
        <v>27</v>
      </c>
      <c r="D127" s="18" t="s">
        <v>256</v>
      </c>
      <c r="E127" s="15">
        <v>0</v>
      </c>
      <c r="F127" s="15">
        <v>0</v>
      </c>
      <c r="G127" s="22">
        <v>0</v>
      </c>
      <c r="H127" s="44">
        <v>0</v>
      </c>
      <c r="I127" s="50"/>
      <c r="J127" s="50">
        <f t="shared" si="7"/>
        <v>0</v>
      </c>
    </row>
    <row r="128" spans="1:10" x14ac:dyDescent="0.3">
      <c r="A128">
        <f t="shared" ref="A128:A149" si="8">RANK(J128,$J$32:$J$149)</f>
        <v>92</v>
      </c>
      <c r="B128" s="14" t="s">
        <v>309</v>
      </c>
      <c r="C128" s="14" t="s">
        <v>19</v>
      </c>
      <c r="D128" s="14" t="s">
        <v>256</v>
      </c>
      <c r="E128" s="15">
        <v>0</v>
      </c>
      <c r="F128" s="15">
        <v>0</v>
      </c>
      <c r="G128" s="22">
        <v>0</v>
      </c>
      <c r="H128" s="44">
        <v>0</v>
      </c>
      <c r="I128" s="50"/>
      <c r="J128" s="50">
        <f t="shared" ref="J128:J149" si="9">LARGE(E128:I128,1)+LARGE(E128:I128,2)+LARGE(E128:I128,3)</f>
        <v>0</v>
      </c>
    </row>
    <row r="129" spans="1:10" x14ac:dyDescent="0.3">
      <c r="A129">
        <f t="shared" si="8"/>
        <v>92</v>
      </c>
      <c r="B129" s="18" t="s">
        <v>512</v>
      </c>
      <c r="C129" s="18" t="s">
        <v>484</v>
      </c>
      <c r="D129" s="18" t="s">
        <v>256</v>
      </c>
      <c r="E129" s="15">
        <v>0</v>
      </c>
      <c r="F129" s="15">
        <v>0</v>
      </c>
      <c r="G129" s="22">
        <v>0</v>
      </c>
      <c r="H129" s="44">
        <v>0</v>
      </c>
      <c r="I129" s="50"/>
      <c r="J129" s="50">
        <f t="shared" si="9"/>
        <v>0</v>
      </c>
    </row>
    <row r="130" spans="1:10" x14ac:dyDescent="0.3">
      <c r="A130">
        <f t="shared" si="8"/>
        <v>92</v>
      </c>
      <c r="B130" s="18" t="s">
        <v>513</v>
      </c>
      <c r="C130" s="18" t="s">
        <v>456</v>
      </c>
      <c r="D130" s="18" t="s">
        <v>256</v>
      </c>
      <c r="E130" s="15">
        <v>0</v>
      </c>
      <c r="F130" s="15">
        <v>0</v>
      </c>
      <c r="G130" s="22">
        <v>0</v>
      </c>
      <c r="H130" s="44">
        <v>0</v>
      </c>
      <c r="I130" s="50"/>
      <c r="J130" s="50">
        <f t="shared" si="9"/>
        <v>0</v>
      </c>
    </row>
    <row r="131" spans="1:10" x14ac:dyDescent="0.3">
      <c r="A131">
        <f t="shared" si="8"/>
        <v>92</v>
      </c>
      <c r="B131" s="14" t="s">
        <v>306</v>
      </c>
      <c r="C131" s="14" t="s">
        <v>54</v>
      </c>
      <c r="D131" s="14" t="s">
        <v>256</v>
      </c>
      <c r="E131" s="15">
        <v>0</v>
      </c>
      <c r="F131" s="15">
        <v>0</v>
      </c>
      <c r="G131" s="22">
        <v>0</v>
      </c>
      <c r="H131" s="44">
        <v>0</v>
      </c>
      <c r="I131" s="50"/>
      <c r="J131" s="50">
        <f t="shared" si="9"/>
        <v>0</v>
      </c>
    </row>
    <row r="132" spans="1:10" x14ac:dyDescent="0.3">
      <c r="A132">
        <f t="shared" si="8"/>
        <v>92</v>
      </c>
      <c r="B132" s="14" t="s">
        <v>312</v>
      </c>
      <c r="C132" s="14" t="s">
        <v>126</v>
      </c>
      <c r="D132" s="14" t="s">
        <v>256</v>
      </c>
      <c r="E132" s="15">
        <v>0</v>
      </c>
      <c r="F132" s="15">
        <v>0</v>
      </c>
      <c r="G132" s="22">
        <v>0</v>
      </c>
      <c r="H132" s="44">
        <v>0</v>
      </c>
      <c r="I132" s="50"/>
      <c r="J132" s="50">
        <f t="shared" si="9"/>
        <v>0</v>
      </c>
    </row>
    <row r="133" spans="1:10" x14ac:dyDescent="0.3">
      <c r="A133">
        <f t="shared" si="8"/>
        <v>92</v>
      </c>
      <c r="B133" s="18" t="s">
        <v>516</v>
      </c>
      <c r="C133" s="18" t="s">
        <v>517</v>
      </c>
      <c r="D133" s="18" t="s">
        <v>256</v>
      </c>
      <c r="E133" s="15">
        <v>0</v>
      </c>
      <c r="F133" s="19">
        <v>0</v>
      </c>
      <c r="G133" s="22">
        <v>0</v>
      </c>
      <c r="H133" s="44">
        <v>0</v>
      </c>
      <c r="I133" s="50"/>
      <c r="J133" s="50">
        <f t="shared" si="9"/>
        <v>0</v>
      </c>
    </row>
    <row r="134" spans="1:10" x14ac:dyDescent="0.3">
      <c r="A134">
        <f t="shared" si="8"/>
        <v>92</v>
      </c>
      <c r="B134" s="18" t="s">
        <v>518</v>
      </c>
      <c r="C134" s="18" t="s">
        <v>517</v>
      </c>
      <c r="D134" s="18" t="s">
        <v>256</v>
      </c>
      <c r="E134" s="15">
        <v>0</v>
      </c>
      <c r="F134" s="19">
        <v>0</v>
      </c>
      <c r="G134" s="22">
        <v>0</v>
      </c>
      <c r="H134" s="44">
        <v>0</v>
      </c>
      <c r="I134" s="50"/>
      <c r="J134" s="50">
        <f t="shared" si="9"/>
        <v>0</v>
      </c>
    </row>
    <row r="135" spans="1:10" x14ac:dyDescent="0.3">
      <c r="A135">
        <f t="shared" si="8"/>
        <v>92</v>
      </c>
      <c r="B135" s="14" t="s">
        <v>310</v>
      </c>
      <c r="C135" s="14" t="s">
        <v>117</v>
      </c>
      <c r="D135" s="14" t="s">
        <v>256</v>
      </c>
      <c r="E135" s="15">
        <v>0</v>
      </c>
      <c r="F135" s="15">
        <v>0</v>
      </c>
      <c r="G135" s="22">
        <v>0</v>
      </c>
      <c r="H135" s="44">
        <v>0</v>
      </c>
      <c r="I135" s="50"/>
      <c r="J135" s="50">
        <f t="shared" si="9"/>
        <v>0</v>
      </c>
    </row>
    <row r="136" spans="1:10" x14ac:dyDescent="0.3">
      <c r="A136">
        <f t="shared" si="8"/>
        <v>92</v>
      </c>
      <c r="B136" s="45" t="s">
        <v>750</v>
      </c>
      <c r="C136" s="42" t="s">
        <v>12</v>
      </c>
      <c r="D136" s="14" t="s">
        <v>256</v>
      </c>
      <c r="E136" s="15">
        <v>0</v>
      </c>
      <c r="F136" s="15">
        <v>0</v>
      </c>
      <c r="G136" s="22">
        <v>0</v>
      </c>
      <c r="H136" s="15">
        <v>0</v>
      </c>
      <c r="I136" s="50"/>
      <c r="J136" s="50">
        <f t="shared" si="9"/>
        <v>0</v>
      </c>
    </row>
    <row r="137" spans="1:10" x14ac:dyDescent="0.3">
      <c r="A137">
        <f t="shared" si="8"/>
        <v>92</v>
      </c>
      <c r="B137" s="14" t="s">
        <v>311</v>
      </c>
      <c r="C137" s="14" t="s">
        <v>98</v>
      </c>
      <c r="D137" s="14" t="s">
        <v>256</v>
      </c>
      <c r="E137" s="15">
        <v>0</v>
      </c>
      <c r="F137" s="15">
        <v>0</v>
      </c>
      <c r="G137" s="22">
        <v>0</v>
      </c>
      <c r="H137" s="44">
        <v>0</v>
      </c>
      <c r="I137" s="50"/>
      <c r="J137" s="50">
        <f t="shared" si="9"/>
        <v>0</v>
      </c>
    </row>
    <row r="138" spans="1:10" x14ac:dyDescent="0.3">
      <c r="A138">
        <f t="shared" si="8"/>
        <v>92</v>
      </c>
      <c r="B138" s="18" t="s">
        <v>520</v>
      </c>
      <c r="C138" s="18" t="s">
        <v>35</v>
      </c>
      <c r="D138" s="18" t="s">
        <v>256</v>
      </c>
      <c r="E138" s="15">
        <v>0</v>
      </c>
      <c r="F138" s="19">
        <v>0</v>
      </c>
      <c r="G138" s="22">
        <v>0</v>
      </c>
      <c r="H138" s="44">
        <v>0</v>
      </c>
      <c r="I138" s="50"/>
      <c r="J138" s="50">
        <f t="shared" si="9"/>
        <v>0</v>
      </c>
    </row>
    <row r="139" spans="1:10" x14ac:dyDescent="0.3">
      <c r="A139">
        <f t="shared" si="8"/>
        <v>92</v>
      </c>
      <c r="B139" s="18" t="s">
        <v>522</v>
      </c>
      <c r="C139" s="18" t="s">
        <v>484</v>
      </c>
      <c r="D139" s="18" t="s">
        <v>256</v>
      </c>
      <c r="E139" s="15">
        <v>0</v>
      </c>
      <c r="F139" s="15">
        <v>0</v>
      </c>
      <c r="G139" s="22">
        <v>0</v>
      </c>
      <c r="H139" s="44">
        <v>0</v>
      </c>
      <c r="I139" s="50"/>
      <c r="J139" s="50">
        <f t="shared" si="9"/>
        <v>0</v>
      </c>
    </row>
    <row r="140" spans="1:10" x14ac:dyDescent="0.3">
      <c r="A140">
        <f t="shared" si="8"/>
        <v>92</v>
      </c>
      <c r="B140" s="45" t="s">
        <v>752</v>
      </c>
      <c r="C140" s="42" t="s">
        <v>727</v>
      </c>
      <c r="D140" s="14" t="s">
        <v>256</v>
      </c>
      <c r="E140" s="15">
        <v>0</v>
      </c>
      <c r="F140" s="15">
        <v>0</v>
      </c>
      <c r="G140" s="22">
        <v>0</v>
      </c>
      <c r="H140" s="15">
        <v>0</v>
      </c>
      <c r="I140" s="50"/>
      <c r="J140" s="50">
        <f t="shared" si="9"/>
        <v>0</v>
      </c>
    </row>
    <row r="141" spans="1:10" x14ac:dyDescent="0.3">
      <c r="A141">
        <f t="shared" si="8"/>
        <v>92</v>
      </c>
      <c r="B141" s="45" t="s">
        <v>753</v>
      </c>
      <c r="C141" s="42" t="s">
        <v>111</v>
      </c>
      <c r="D141" s="14" t="s">
        <v>256</v>
      </c>
      <c r="E141" s="15">
        <v>0</v>
      </c>
      <c r="F141" s="15">
        <v>0</v>
      </c>
      <c r="G141" s="22">
        <v>0</v>
      </c>
      <c r="H141" s="15">
        <v>0</v>
      </c>
      <c r="I141" s="50"/>
      <c r="J141" s="50">
        <f t="shared" si="9"/>
        <v>0</v>
      </c>
    </row>
    <row r="142" spans="1:10" x14ac:dyDescent="0.3">
      <c r="A142">
        <f t="shared" si="8"/>
        <v>92</v>
      </c>
      <c r="B142" s="45" t="s">
        <v>836</v>
      </c>
      <c r="C142" s="42" t="s">
        <v>131</v>
      </c>
      <c r="D142" s="42" t="s">
        <v>256</v>
      </c>
      <c r="E142" s="15">
        <v>0</v>
      </c>
      <c r="F142" s="15">
        <v>0</v>
      </c>
      <c r="G142" s="15">
        <v>0</v>
      </c>
      <c r="H142" s="44">
        <v>0</v>
      </c>
      <c r="J142" s="50">
        <f t="shared" si="9"/>
        <v>0</v>
      </c>
    </row>
    <row r="143" spans="1:10" x14ac:dyDescent="0.3">
      <c r="A143">
        <f t="shared" si="8"/>
        <v>92</v>
      </c>
      <c r="B143" s="45" t="s">
        <v>345</v>
      </c>
      <c r="C143" s="42" t="s">
        <v>59</v>
      </c>
      <c r="D143" s="42" t="s">
        <v>256</v>
      </c>
      <c r="E143" s="15">
        <v>0</v>
      </c>
      <c r="F143" s="15">
        <v>0</v>
      </c>
      <c r="G143" s="15">
        <v>0</v>
      </c>
      <c r="H143" s="44">
        <v>0</v>
      </c>
      <c r="J143" s="50">
        <f t="shared" si="9"/>
        <v>0</v>
      </c>
    </row>
    <row r="144" spans="1:10" x14ac:dyDescent="0.3">
      <c r="A144">
        <f t="shared" si="8"/>
        <v>92</v>
      </c>
      <c r="B144" s="45" t="s">
        <v>838</v>
      </c>
      <c r="C144" s="42" t="s">
        <v>2</v>
      </c>
      <c r="D144" s="42" t="s">
        <v>256</v>
      </c>
      <c r="E144" s="15">
        <v>0</v>
      </c>
      <c r="F144" s="15">
        <v>0</v>
      </c>
      <c r="G144" s="15">
        <v>0</v>
      </c>
      <c r="H144" s="44">
        <v>0</v>
      </c>
      <c r="J144" s="50">
        <f t="shared" si="9"/>
        <v>0</v>
      </c>
    </row>
    <row r="145" spans="1:10" x14ac:dyDescent="0.3">
      <c r="A145">
        <f t="shared" si="8"/>
        <v>92</v>
      </c>
      <c r="B145" s="45" t="s">
        <v>549</v>
      </c>
      <c r="C145" s="42" t="s">
        <v>495</v>
      </c>
      <c r="D145" s="42" t="s">
        <v>256</v>
      </c>
      <c r="E145" s="15">
        <v>0</v>
      </c>
      <c r="F145" s="15">
        <v>0</v>
      </c>
      <c r="G145" s="15">
        <v>0</v>
      </c>
      <c r="H145" s="44">
        <v>0</v>
      </c>
      <c r="J145" s="50">
        <f t="shared" si="9"/>
        <v>0</v>
      </c>
    </row>
    <row r="146" spans="1:10" x14ac:dyDescent="0.3">
      <c r="A146">
        <f t="shared" si="8"/>
        <v>92</v>
      </c>
      <c r="B146" s="45" t="s">
        <v>839</v>
      </c>
      <c r="C146" s="42" t="s">
        <v>727</v>
      </c>
      <c r="D146" s="42" t="s">
        <v>256</v>
      </c>
      <c r="E146" s="15">
        <v>0</v>
      </c>
      <c r="F146" s="15">
        <v>0</v>
      </c>
      <c r="G146" s="15">
        <v>0</v>
      </c>
      <c r="H146" s="44">
        <v>0</v>
      </c>
      <c r="J146" s="50">
        <f t="shared" si="9"/>
        <v>0</v>
      </c>
    </row>
    <row r="147" spans="1:10" x14ac:dyDescent="0.3">
      <c r="A147">
        <f t="shared" si="8"/>
        <v>92</v>
      </c>
      <c r="B147" s="45" t="s">
        <v>559</v>
      </c>
      <c r="C147" s="42" t="s">
        <v>126</v>
      </c>
      <c r="D147" s="42" t="s">
        <v>256</v>
      </c>
      <c r="E147" s="15">
        <v>0</v>
      </c>
      <c r="F147" s="15">
        <v>0</v>
      </c>
      <c r="G147" s="15">
        <v>0</v>
      </c>
      <c r="H147" s="44">
        <v>0</v>
      </c>
      <c r="J147" s="50">
        <f t="shared" si="9"/>
        <v>0</v>
      </c>
    </row>
    <row r="148" spans="1:10" x14ac:dyDescent="0.3">
      <c r="A148">
        <f t="shared" si="8"/>
        <v>92</v>
      </c>
      <c r="B148" s="45" t="s">
        <v>843</v>
      </c>
      <c r="C148" s="42" t="s">
        <v>35</v>
      </c>
      <c r="D148" s="42" t="s">
        <v>256</v>
      </c>
      <c r="E148" s="15">
        <v>0</v>
      </c>
      <c r="F148" s="15">
        <v>0</v>
      </c>
      <c r="G148" s="15">
        <v>0</v>
      </c>
      <c r="H148" s="44">
        <v>0</v>
      </c>
      <c r="J148" s="50">
        <f t="shared" si="9"/>
        <v>0</v>
      </c>
    </row>
    <row r="149" spans="1:10" x14ac:dyDescent="0.3">
      <c r="A149">
        <f t="shared" si="8"/>
        <v>92</v>
      </c>
      <c r="B149" s="45" t="s">
        <v>337</v>
      </c>
      <c r="C149" s="42" t="s">
        <v>1</v>
      </c>
      <c r="D149" s="42" t="s">
        <v>256</v>
      </c>
      <c r="E149" s="15">
        <v>0</v>
      </c>
      <c r="F149" s="15">
        <v>0</v>
      </c>
      <c r="G149" s="15">
        <v>0</v>
      </c>
      <c r="H149" s="44">
        <v>0</v>
      </c>
      <c r="J149" s="50">
        <f t="shared" si="9"/>
        <v>0</v>
      </c>
    </row>
  </sheetData>
  <sortState xmlns:xlrd2="http://schemas.microsoft.com/office/spreadsheetml/2017/richdata2" ref="A32:J149">
    <sortCondition ref="A3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C0590-0883-40FF-B06A-A760E1DE3E74}">
  <sheetPr codeName="Sheet4"/>
  <dimension ref="A1:J98"/>
  <sheetViews>
    <sheetView zoomScale="56" zoomScaleNormal="70" workbookViewId="0">
      <selection activeCell="B30" sqref="B30:C32"/>
    </sheetView>
  </sheetViews>
  <sheetFormatPr defaultRowHeight="14.4" x14ac:dyDescent="0.3"/>
  <cols>
    <col min="2" max="2" width="19.88671875" bestFit="1" customWidth="1"/>
    <col min="3" max="3" width="14.88671875" bestFit="1" customWidth="1"/>
    <col min="4" max="4" width="14.109375" bestFit="1" customWidth="1"/>
    <col min="5" max="7" width="9.88671875" bestFit="1" customWidth="1"/>
    <col min="8" max="8" width="11" bestFit="1" customWidth="1"/>
    <col min="9" max="9" width="12.44140625" bestFit="1" customWidth="1"/>
    <col min="10" max="10" width="9.88671875" bestFit="1" customWidth="1"/>
  </cols>
  <sheetData>
    <row r="1" spans="1:10" x14ac:dyDescent="0.3">
      <c r="A1" s="1"/>
      <c r="B1" s="1"/>
      <c r="C1" s="1"/>
      <c r="D1" s="2"/>
      <c r="E1" s="10" t="s">
        <v>1</v>
      </c>
      <c r="F1" s="10" t="s">
        <v>4</v>
      </c>
      <c r="G1" s="10" t="s">
        <v>2</v>
      </c>
      <c r="H1" s="11" t="s">
        <v>12</v>
      </c>
      <c r="I1" s="10" t="s">
        <v>3</v>
      </c>
      <c r="J1" s="9" t="s">
        <v>6</v>
      </c>
    </row>
    <row r="2" spans="1:10" x14ac:dyDescent="0.3">
      <c r="A2" s="3" t="s">
        <v>379</v>
      </c>
      <c r="B2" s="3" t="s">
        <v>7</v>
      </c>
      <c r="C2" s="4" t="s">
        <v>8</v>
      </c>
      <c r="D2" s="4" t="s">
        <v>0</v>
      </c>
      <c r="E2" s="5" t="s">
        <v>9</v>
      </c>
      <c r="F2" s="6" t="s">
        <v>9</v>
      </c>
      <c r="G2" s="7" t="s">
        <v>9</v>
      </c>
      <c r="H2" s="7" t="s">
        <v>9</v>
      </c>
      <c r="I2" s="8" t="s">
        <v>9</v>
      </c>
      <c r="J2" s="8" t="s">
        <v>9</v>
      </c>
    </row>
    <row r="3" spans="1:10" x14ac:dyDescent="0.3">
      <c r="A3">
        <f t="shared" ref="A3:A22" si="0">RANK(J3,$J$3:$J$22)</f>
        <v>1</v>
      </c>
      <c r="B3" s="17" t="s">
        <v>189</v>
      </c>
      <c r="C3" s="17" t="s">
        <v>61</v>
      </c>
      <c r="D3" s="14" t="s">
        <v>190</v>
      </c>
      <c r="E3" s="15">
        <v>100</v>
      </c>
      <c r="F3" s="22">
        <v>100</v>
      </c>
      <c r="G3" s="22">
        <v>98.84</v>
      </c>
      <c r="H3" s="15">
        <v>0</v>
      </c>
      <c r="I3" s="50"/>
      <c r="J3" s="50">
        <f t="shared" ref="J3:J22" si="1">LARGE(E3:I3,1)+LARGE(E3:I3,2)+LARGE(E3:I3,3)</f>
        <v>298.84000000000003</v>
      </c>
    </row>
    <row r="4" spans="1:10" x14ac:dyDescent="0.3">
      <c r="A4">
        <f t="shared" si="0"/>
        <v>2</v>
      </c>
      <c r="B4" s="14" t="s">
        <v>196</v>
      </c>
      <c r="C4" s="14" t="s">
        <v>3</v>
      </c>
      <c r="D4" s="14" t="s">
        <v>190</v>
      </c>
      <c r="E4" s="15">
        <v>87.751004016064257</v>
      </c>
      <c r="F4" s="22">
        <v>92.72</v>
      </c>
      <c r="G4" s="22">
        <v>95.74</v>
      </c>
      <c r="H4" s="15">
        <v>0</v>
      </c>
      <c r="I4" s="50"/>
      <c r="J4" s="50">
        <f t="shared" si="1"/>
        <v>276.21100401606424</v>
      </c>
    </row>
    <row r="5" spans="1:10" x14ac:dyDescent="0.3">
      <c r="A5">
        <f t="shared" si="0"/>
        <v>3</v>
      </c>
      <c r="B5" s="14" t="s">
        <v>202</v>
      </c>
      <c r="C5" s="14" t="s">
        <v>3</v>
      </c>
      <c r="D5" s="14" t="s">
        <v>190</v>
      </c>
      <c r="E5" s="15">
        <v>45.983935742971887</v>
      </c>
      <c r="F5" s="22">
        <v>51.18</v>
      </c>
      <c r="G5" s="22">
        <v>93.22</v>
      </c>
      <c r="H5" s="15">
        <v>100</v>
      </c>
      <c r="I5" s="50"/>
      <c r="J5" s="50">
        <f t="shared" si="1"/>
        <v>244.4</v>
      </c>
    </row>
    <row r="6" spans="1:10" x14ac:dyDescent="0.3">
      <c r="A6">
        <f t="shared" si="0"/>
        <v>4</v>
      </c>
      <c r="B6" s="14" t="s">
        <v>193</v>
      </c>
      <c r="C6" s="14" t="s">
        <v>5</v>
      </c>
      <c r="D6" s="14" t="s">
        <v>190</v>
      </c>
      <c r="E6" s="15">
        <v>93.47389558232932</v>
      </c>
      <c r="F6" s="22">
        <v>91.73</v>
      </c>
      <c r="G6" s="22">
        <v>0</v>
      </c>
      <c r="H6" s="15">
        <v>55.63</v>
      </c>
      <c r="I6" s="50"/>
      <c r="J6" s="50">
        <f t="shared" si="1"/>
        <v>240.83389558232932</v>
      </c>
    </row>
    <row r="7" spans="1:10" x14ac:dyDescent="0.3">
      <c r="A7">
        <f t="shared" si="0"/>
        <v>5</v>
      </c>
      <c r="B7" s="14" t="s">
        <v>194</v>
      </c>
      <c r="C7" s="14" t="s">
        <v>12</v>
      </c>
      <c r="D7" s="14" t="s">
        <v>190</v>
      </c>
      <c r="E7" s="15">
        <v>91.164658634538171</v>
      </c>
      <c r="F7" s="22">
        <v>93.11</v>
      </c>
      <c r="G7" s="22">
        <v>0</v>
      </c>
      <c r="H7" s="15">
        <v>0</v>
      </c>
      <c r="I7" s="50"/>
      <c r="J7" s="50">
        <f t="shared" si="1"/>
        <v>184.27465863453818</v>
      </c>
    </row>
    <row r="8" spans="1:10" x14ac:dyDescent="0.3">
      <c r="A8">
        <f t="shared" si="0"/>
        <v>6</v>
      </c>
      <c r="B8" s="14" t="s">
        <v>203</v>
      </c>
      <c r="C8" s="14" t="s">
        <v>126</v>
      </c>
      <c r="D8" s="14" t="s">
        <v>190</v>
      </c>
      <c r="E8" s="15">
        <v>0</v>
      </c>
      <c r="F8" s="22">
        <v>94.29</v>
      </c>
      <c r="G8" s="22">
        <v>72.48</v>
      </c>
      <c r="H8" s="15">
        <v>0</v>
      </c>
      <c r="I8" s="50"/>
      <c r="J8" s="50">
        <f t="shared" si="1"/>
        <v>166.77</v>
      </c>
    </row>
    <row r="9" spans="1:10" x14ac:dyDescent="0.3">
      <c r="A9">
        <f t="shared" si="0"/>
        <v>7</v>
      </c>
      <c r="B9" s="14" t="s">
        <v>195</v>
      </c>
      <c r="C9" s="14" t="s">
        <v>117</v>
      </c>
      <c r="D9" s="14" t="s">
        <v>190</v>
      </c>
      <c r="E9" s="15">
        <v>91.767068273092377</v>
      </c>
      <c r="F9" s="22">
        <v>55.31</v>
      </c>
      <c r="G9" s="22">
        <v>0</v>
      </c>
      <c r="H9" s="15">
        <v>0</v>
      </c>
      <c r="I9" s="50"/>
      <c r="J9" s="50">
        <f t="shared" si="1"/>
        <v>147.07706827309238</v>
      </c>
    </row>
    <row r="10" spans="1:10" x14ac:dyDescent="0.3">
      <c r="A10">
        <f t="shared" si="0"/>
        <v>8</v>
      </c>
      <c r="B10" s="17" t="s">
        <v>707</v>
      </c>
      <c r="C10" s="17" t="s">
        <v>495</v>
      </c>
      <c r="D10" s="17" t="s">
        <v>190</v>
      </c>
      <c r="E10" s="15">
        <v>0</v>
      </c>
      <c r="F10" s="22">
        <v>0</v>
      </c>
      <c r="G10" s="22">
        <v>100</v>
      </c>
      <c r="H10" s="15">
        <v>0</v>
      </c>
      <c r="I10" s="50"/>
      <c r="J10" s="50">
        <f t="shared" si="1"/>
        <v>100</v>
      </c>
    </row>
    <row r="11" spans="1:10" x14ac:dyDescent="0.3">
      <c r="A11">
        <f t="shared" si="0"/>
        <v>9</v>
      </c>
      <c r="B11" s="17" t="s">
        <v>192</v>
      </c>
      <c r="C11" s="17" t="s">
        <v>160</v>
      </c>
      <c r="D11" s="14" t="s">
        <v>190</v>
      </c>
      <c r="E11" s="15">
        <v>98.293172690763058</v>
      </c>
      <c r="F11" s="22">
        <v>0</v>
      </c>
      <c r="G11" s="22">
        <v>0</v>
      </c>
      <c r="H11" s="15">
        <v>0</v>
      </c>
      <c r="I11" s="50"/>
      <c r="J11" s="50">
        <f t="shared" si="1"/>
        <v>98.293172690763058</v>
      </c>
    </row>
    <row r="12" spans="1:10" x14ac:dyDescent="0.3">
      <c r="A12">
        <f t="shared" si="0"/>
        <v>10</v>
      </c>
      <c r="B12" s="17" t="s">
        <v>191</v>
      </c>
      <c r="C12" s="17" t="s">
        <v>3</v>
      </c>
      <c r="D12" s="14" t="s">
        <v>190</v>
      </c>
      <c r="E12" s="15">
        <v>96.586345381526115</v>
      </c>
      <c r="F12" s="22">
        <v>0</v>
      </c>
      <c r="G12" s="22">
        <v>0</v>
      </c>
      <c r="H12" s="15">
        <v>0</v>
      </c>
      <c r="I12" s="50"/>
      <c r="J12" s="50">
        <f t="shared" si="1"/>
        <v>96.586345381526115</v>
      </c>
    </row>
    <row r="13" spans="1:10" x14ac:dyDescent="0.3">
      <c r="A13">
        <f t="shared" si="0"/>
        <v>11</v>
      </c>
      <c r="B13" s="17" t="s">
        <v>243</v>
      </c>
      <c r="C13" s="17" t="s">
        <v>1</v>
      </c>
      <c r="D13" s="17" t="s">
        <v>190</v>
      </c>
      <c r="E13" s="15">
        <v>0</v>
      </c>
      <c r="F13" s="22">
        <v>0</v>
      </c>
      <c r="G13" s="22">
        <v>94.77</v>
      </c>
      <c r="H13" s="15">
        <v>0</v>
      </c>
      <c r="I13" s="50"/>
      <c r="J13" s="50">
        <f t="shared" si="1"/>
        <v>94.77</v>
      </c>
    </row>
    <row r="14" spans="1:10" x14ac:dyDescent="0.3">
      <c r="A14">
        <f t="shared" si="0"/>
        <v>12</v>
      </c>
      <c r="B14" s="17" t="s">
        <v>828</v>
      </c>
      <c r="C14" s="17" t="s">
        <v>4</v>
      </c>
      <c r="D14" s="17" t="s">
        <v>190</v>
      </c>
      <c r="E14" s="15">
        <v>0</v>
      </c>
      <c r="F14" s="22">
        <v>87.8</v>
      </c>
      <c r="G14" s="22">
        <v>0</v>
      </c>
      <c r="H14" s="15">
        <v>0</v>
      </c>
      <c r="I14" s="50"/>
      <c r="J14" s="50">
        <f t="shared" si="1"/>
        <v>87.8</v>
      </c>
    </row>
    <row r="15" spans="1:10" x14ac:dyDescent="0.3">
      <c r="A15">
        <f t="shared" si="0"/>
        <v>13</v>
      </c>
      <c r="B15" s="14" t="s">
        <v>198</v>
      </c>
      <c r="C15" s="14" t="s">
        <v>2</v>
      </c>
      <c r="D15" s="14" t="s">
        <v>190</v>
      </c>
      <c r="E15" s="15">
        <v>70.582329317269085</v>
      </c>
      <c r="F15" s="22">
        <v>0</v>
      </c>
      <c r="G15" s="22">
        <v>0</v>
      </c>
      <c r="H15" s="15">
        <v>0</v>
      </c>
      <c r="I15" s="50"/>
      <c r="J15" s="50">
        <f t="shared" si="1"/>
        <v>70.582329317269085</v>
      </c>
    </row>
    <row r="16" spans="1:10" x14ac:dyDescent="0.3">
      <c r="A16">
        <f t="shared" si="0"/>
        <v>14</v>
      </c>
      <c r="B16" s="14" t="s">
        <v>199</v>
      </c>
      <c r="C16" s="14" t="s">
        <v>27</v>
      </c>
      <c r="D16" s="14" t="s">
        <v>190</v>
      </c>
      <c r="E16" s="15">
        <v>70.381526104417659</v>
      </c>
      <c r="F16" s="22">
        <v>0</v>
      </c>
      <c r="G16" s="22">
        <v>0</v>
      </c>
      <c r="H16" s="15">
        <v>0</v>
      </c>
      <c r="I16" s="50"/>
      <c r="J16" s="50">
        <f t="shared" si="1"/>
        <v>70.381526104417659</v>
      </c>
    </row>
    <row r="17" spans="1:10" x14ac:dyDescent="0.3">
      <c r="A17">
        <f t="shared" si="0"/>
        <v>15</v>
      </c>
      <c r="B17" s="32" t="s">
        <v>200</v>
      </c>
      <c r="C17" s="32" t="s">
        <v>5</v>
      </c>
      <c r="D17" s="32" t="s">
        <v>190</v>
      </c>
      <c r="E17" s="15">
        <v>61.746987951807235</v>
      </c>
      <c r="F17" s="22">
        <v>0</v>
      </c>
      <c r="G17" s="22">
        <v>0</v>
      </c>
      <c r="H17" s="15">
        <v>0</v>
      </c>
      <c r="I17" s="50"/>
      <c r="J17" s="50">
        <f t="shared" si="1"/>
        <v>61.746987951807235</v>
      </c>
    </row>
    <row r="18" spans="1:10" x14ac:dyDescent="0.3">
      <c r="A18">
        <f t="shared" si="0"/>
        <v>16</v>
      </c>
      <c r="B18" s="32" t="s">
        <v>201</v>
      </c>
      <c r="C18" s="32" t="s">
        <v>19</v>
      </c>
      <c r="D18" s="32" t="s">
        <v>190</v>
      </c>
      <c r="E18" s="15">
        <v>55.421686746987952</v>
      </c>
      <c r="F18" s="22">
        <v>0</v>
      </c>
      <c r="G18" s="22">
        <v>0</v>
      </c>
      <c r="H18" s="15">
        <v>0</v>
      </c>
      <c r="I18" s="50"/>
      <c r="J18" s="50">
        <f t="shared" si="1"/>
        <v>55.421686746987952</v>
      </c>
    </row>
    <row r="19" spans="1:10" x14ac:dyDescent="0.3">
      <c r="A19">
        <f t="shared" si="0"/>
        <v>17</v>
      </c>
      <c r="B19" s="32" t="s">
        <v>197</v>
      </c>
      <c r="C19" s="32" t="s">
        <v>5</v>
      </c>
      <c r="D19" s="32" t="s">
        <v>190</v>
      </c>
      <c r="E19" s="15">
        <v>0</v>
      </c>
      <c r="F19" s="22">
        <v>0</v>
      </c>
      <c r="G19" s="22">
        <v>0</v>
      </c>
      <c r="H19" s="15">
        <v>0</v>
      </c>
      <c r="I19" s="50"/>
      <c r="J19" s="50">
        <f t="shared" si="1"/>
        <v>0</v>
      </c>
    </row>
    <row r="20" spans="1:10" x14ac:dyDescent="0.3">
      <c r="A20">
        <f t="shared" si="0"/>
        <v>17</v>
      </c>
      <c r="B20" s="23" t="s">
        <v>827</v>
      </c>
      <c r="C20" s="23" t="s">
        <v>5</v>
      </c>
      <c r="D20" s="23" t="s">
        <v>190</v>
      </c>
      <c r="E20" s="15">
        <v>0</v>
      </c>
      <c r="F20" s="22">
        <v>0</v>
      </c>
      <c r="G20" s="22">
        <v>0</v>
      </c>
      <c r="H20" s="15">
        <v>0</v>
      </c>
      <c r="I20" s="50"/>
      <c r="J20" s="50">
        <f t="shared" si="1"/>
        <v>0</v>
      </c>
    </row>
    <row r="21" spans="1:10" x14ac:dyDescent="0.3">
      <c r="A21">
        <f t="shared" si="0"/>
        <v>17</v>
      </c>
      <c r="B21" s="24" t="s">
        <v>253</v>
      </c>
      <c r="C21" s="24" t="s">
        <v>27</v>
      </c>
      <c r="D21" s="24" t="s">
        <v>190</v>
      </c>
      <c r="E21" s="15">
        <v>0</v>
      </c>
      <c r="F21" s="22">
        <v>0</v>
      </c>
      <c r="G21" s="22">
        <v>0</v>
      </c>
      <c r="H21" s="15">
        <v>0</v>
      </c>
      <c r="I21" s="50"/>
      <c r="J21" s="50">
        <f t="shared" si="1"/>
        <v>0</v>
      </c>
    </row>
    <row r="22" spans="1:10" x14ac:dyDescent="0.3">
      <c r="A22">
        <f t="shared" si="0"/>
        <v>17</v>
      </c>
      <c r="B22" s="24" t="s">
        <v>829</v>
      </c>
      <c r="C22" s="24" t="s">
        <v>19</v>
      </c>
      <c r="D22" s="24" t="s">
        <v>190</v>
      </c>
      <c r="E22" s="15">
        <v>0</v>
      </c>
      <c r="F22" s="22">
        <v>0</v>
      </c>
      <c r="G22" s="22">
        <v>0</v>
      </c>
      <c r="H22" s="15">
        <v>0</v>
      </c>
      <c r="I22" s="50"/>
      <c r="J22" s="50">
        <f t="shared" si="1"/>
        <v>0</v>
      </c>
    </row>
    <row r="23" spans="1:10" x14ac:dyDescent="0.3">
      <c r="B23" s="24"/>
      <c r="C23" s="24"/>
      <c r="D23" s="24"/>
      <c r="E23" s="15"/>
      <c r="F23" s="21"/>
    </row>
    <row r="24" spans="1:10" x14ac:dyDescent="0.3">
      <c r="B24" s="24"/>
      <c r="C24" s="24"/>
      <c r="D24" s="24"/>
      <c r="E24" s="15"/>
      <c r="F24" s="21"/>
    </row>
    <row r="25" spans="1:10" x14ac:dyDescent="0.3">
      <c r="B25" s="24"/>
      <c r="C25" s="24"/>
      <c r="D25" s="24"/>
      <c r="E25" s="15"/>
      <c r="F25" s="21"/>
    </row>
    <row r="26" spans="1:10" x14ac:dyDescent="0.3">
      <c r="B26" s="24"/>
      <c r="C26" s="24"/>
      <c r="D26" s="24"/>
      <c r="E26" s="15"/>
      <c r="F26" s="21"/>
    </row>
    <row r="27" spans="1:10" x14ac:dyDescent="0.3">
      <c r="B27" s="24"/>
      <c r="C27" s="24"/>
      <c r="D27" s="24"/>
      <c r="E27" s="15"/>
      <c r="F27" s="21"/>
    </row>
    <row r="28" spans="1:10" x14ac:dyDescent="0.3">
      <c r="A28" s="1"/>
      <c r="B28" s="1"/>
      <c r="C28" s="1"/>
      <c r="D28" s="2"/>
      <c r="E28" s="10" t="s">
        <v>1</v>
      </c>
      <c r="F28" s="10" t="s">
        <v>4</v>
      </c>
      <c r="G28" s="10" t="s">
        <v>2</v>
      </c>
      <c r="H28" s="11" t="s">
        <v>12</v>
      </c>
      <c r="I28" s="10" t="s">
        <v>3</v>
      </c>
      <c r="J28" s="9" t="s">
        <v>6</v>
      </c>
    </row>
    <row r="29" spans="1:10" x14ac:dyDescent="0.3">
      <c r="A29" s="3" t="s">
        <v>379</v>
      </c>
      <c r="B29" s="3" t="s">
        <v>7</v>
      </c>
      <c r="C29" s="4" t="s">
        <v>8</v>
      </c>
      <c r="D29" s="4" t="s">
        <v>0</v>
      </c>
      <c r="E29" s="5" t="s">
        <v>9</v>
      </c>
      <c r="F29" s="6" t="s">
        <v>9</v>
      </c>
      <c r="G29" s="7" t="s">
        <v>9</v>
      </c>
      <c r="H29" s="7" t="s">
        <v>9</v>
      </c>
      <c r="I29" s="8" t="s">
        <v>9</v>
      </c>
      <c r="J29" s="8" t="s">
        <v>9</v>
      </c>
    </row>
    <row r="30" spans="1:10" x14ac:dyDescent="0.3">
      <c r="A30">
        <f t="shared" ref="A30:A61" si="2">RANK(J30,$J$30:$J$98)</f>
        <v>1</v>
      </c>
      <c r="B30" s="14" t="s">
        <v>208</v>
      </c>
      <c r="C30" s="14" t="s">
        <v>19</v>
      </c>
      <c r="D30" s="14" t="s">
        <v>205</v>
      </c>
      <c r="E30" s="15">
        <v>94.602272727272734</v>
      </c>
      <c r="F30" s="30">
        <v>100</v>
      </c>
      <c r="G30" s="22">
        <v>61.28</v>
      </c>
      <c r="H30" s="30">
        <v>100</v>
      </c>
      <c r="I30" s="15"/>
      <c r="J30" s="15">
        <f t="shared" ref="J30:J61" si="3">LARGE(E30:I30,1)+LARGE(E30:I30,2)+LARGE(E30:I30,3)</f>
        <v>294.60227272727275</v>
      </c>
    </row>
    <row r="31" spans="1:10" x14ac:dyDescent="0.3">
      <c r="A31">
        <f t="shared" si="2"/>
        <v>2</v>
      </c>
      <c r="B31" s="17" t="s">
        <v>207</v>
      </c>
      <c r="C31" s="17" t="s">
        <v>12</v>
      </c>
      <c r="D31" s="14" t="s">
        <v>205</v>
      </c>
      <c r="E31" s="15">
        <v>94.696969696969703</v>
      </c>
      <c r="F31" s="30">
        <v>98.56</v>
      </c>
      <c r="G31" s="30">
        <v>98.72</v>
      </c>
      <c r="H31" s="15">
        <v>0</v>
      </c>
      <c r="I31" s="15"/>
      <c r="J31" s="15">
        <f t="shared" si="3"/>
        <v>291.97696969696972</v>
      </c>
    </row>
    <row r="32" spans="1:10" x14ac:dyDescent="0.3">
      <c r="A32">
        <f t="shared" si="2"/>
        <v>3</v>
      </c>
      <c r="B32" s="17" t="s">
        <v>206</v>
      </c>
      <c r="C32" s="17" t="s">
        <v>141</v>
      </c>
      <c r="D32" s="14" t="s">
        <v>205</v>
      </c>
      <c r="E32" s="15">
        <v>95.833333333333343</v>
      </c>
      <c r="F32" s="15">
        <v>0</v>
      </c>
      <c r="G32" s="22">
        <v>95.23</v>
      </c>
      <c r="H32" s="30">
        <v>97.62</v>
      </c>
      <c r="I32" s="15"/>
      <c r="J32" s="15">
        <f t="shared" si="3"/>
        <v>288.68333333333334</v>
      </c>
    </row>
    <row r="33" spans="1:10" x14ac:dyDescent="0.3">
      <c r="A33">
        <f t="shared" si="2"/>
        <v>4</v>
      </c>
      <c r="B33" s="14" t="s">
        <v>487</v>
      </c>
      <c r="C33" s="14" t="s">
        <v>59</v>
      </c>
      <c r="D33" s="14" t="s">
        <v>205</v>
      </c>
      <c r="E33" s="15">
        <v>0</v>
      </c>
      <c r="F33" s="15">
        <v>93.18</v>
      </c>
      <c r="G33" s="22">
        <v>94.68</v>
      </c>
      <c r="H33" s="15">
        <v>95.7</v>
      </c>
      <c r="I33" s="15"/>
      <c r="J33" s="15">
        <f t="shared" si="3"/>
        <v>283.56</v>
      </c>
    </row>
    <row r="34" spans="1:10" x14ac:dyDescent="0.3">
      <c r="A34">
        <f t="shared" si="2"/>
        <v>5</v>
      </c>
      <c r="B34" s="14" t="s">
        <v>213</v>
      </c>
      <c r="C34" s="14" t="s">
        <v>3</v>
      </c>
      <c r="D34" s="14" t="s">
        <v>205</v>
      </c>
      <c r="E34" s="15">
        <v>93.276515151515156</v>
      </c>
      <c r="F34" s="30">
        <v>93.9</v>
      </c>
      <c r="G34" s="22">
        <v>78.900000000000006</v>
      </c>
      <c r="H34" s="15">
        <v>95.02</v>
      </c>
      <c r="I34" s="15"/>
      <c r="J34" s="15">
        <f t="shared" si="3"/>
        <v>282.1965151515152</v>
      </c>
    </row>
    <row r="35" spans="1:10" x14ac:dyDescent="0.3">
      <c r="A35">
        <f t="shared" si="2"/>
        <v>6</v>
      </c>
      <c r="B35" s="14" t="s">
        <v>216</v>
      </c>
      <c r="C35" s="14" t="s">
        <v>117</v>
      </c>
      <c r="D35" s="14" t="s">
        <v>205</v>
      </c>
      <c r="E35" s="15">
        <v>91.76136363636364</v>
      </c>
      <c r="F35" s="30">
        <v>94.61</v>
      </c>
      <c r="G35" s="22">
        <v>0</v>
      </c>
      <c r="H35" s="15">
        <v>92.85</v>
      </c>
      <c r="I35" s="15"/>
      <c r="J35" s="15">
        <f t="shared" si="3"/>
        <v>279.22136363636361</v>
      </c>
    </row>
    <row r="36" spans="1:10" x14ac:dyDescent="0.3">
      <c r="A36">
        <f t="shared" si="2"/>
        <v>7</v>
      </c>
      <c r="B36" s="14" t="s">
        <v>215</v>
      </c>
      <c r="C36" s="14" t="s">
        <v>19</v>
      </c>
      <c r="D36" s="14" t="s">
        <v>205</v>
      </c>
      <c r="E36" s="15">
        <v>91.950757575757578</v>
      </c>
      <c r="F36" s="15">
        <v>89.59</v>
      </c>
      <c r="G36" s="22">
        <v>92.84</v>
      </c>
      <c r="H36" s="15">
        <v>92.61</v>
      </c>
      <c r="I36" s="15"/>
      <c r="J36" s="15">
        <f t="shared" si="3"/>
        <v>277.40075757575755</v>
      </c>
    </row>
    <row r="37" spans="1:10" x14ac:dyDescent="0.3">
      <c r="A37">
        <f t="shared" si="2"/>
        <v>8</v>
      </c>
      <c r="B37" s="14" t="s">
        <v>226</v>
      </c>
      <c r="C37" s="14" t="s">
        <v>19</v>
      </c>
      <c r="D37" s="14" t="s">
        <v>205</v>
      </c>
      <c r="E37" s="15">
        <v>77.556818181818201</v>
      </c>
      <c r="F37" s="15">
        <v>91.02</v>
      </c>
      <c r="G37" s="22">
        <v>91.19</v>
      </c>
      <c r="H37" s="15">
        <v>93.5</v>
      </c>
      <c r="I37" s="15"/>
      <c r="J37" s="15">
        <f t="shared" si="3"/>
        <v>275.70999999999998</v>
      </c>
    </row>
    <row r="38" spans="1:10" x14ac:dyDescent="0.3">
      <c r="A38">
        <f t="shared" si="2"/>
        <v>9</v>
      </c>
      <c r="B38" s="14" t="s">
        <v>221</v>
      </c>
      <c r="C38" s="14" t="s">
        <v>12</v>
      </c>
      <c r="D38" s="14" t="s">
        <v>205</v>
      </c>
      <c r="E38" s="15">
        <v>89.678030303030312</v>
      </c>
      <c r="F38" s="15">
        <v>93</v>
      </c>
      <c r="G38" s="22">
        <v>90.83</v>
      </c>
      <c r="H38" s="15">
        <v>0</v>
      </c>
      <c r="I38" s="15"/>
      <c r="J38" s="15">
        <f t="shared" si="3"/>
        <v>273.5080303030303</v>
      </c>
    </row>
    <row r="39" spans="1:10" x14ac:dyDescent="0.3">
      <c r="A39">
        <f t="shared" si="2"/>
        <v>10</v>
      </c>
      <c r="B39" s="14" t="s">
        <v>219</v>
      </c>
      <c r="C39" s="14" t="s">
        <v>117</v>
      </c>
      <c r="D39" s="14" t="s">
        <v>205</v>
      </c>
      <c r="E39" s="15">
        <v>89.867424242424249</v>
      </c>
      <c r="F39" s="15">
        <v>0</v>
      </c>
      <c r="G39" s="22">
        <v>89.357798165137609</v>
      </c>
      <c r="H39" s="15">
        <v>89.27</v>
      </c>
      <c r="I39" s="15"/>
      <c r="J39" s="15">
        <f t="shared" si="3"/>
        <v>268.49522240756187</v>
      </c>
    </row>
    <row r="40" spans="1:10" x14ac:dyDescent="0.3">
      <c r="A40">
        <f t="shared" si="2"/>
        <v>11</v>
      </c>
      <c r="B40" s="14" t="s">
        <v>227</v>
      </c>
      <c r="C40" s="14" t="s">
        <v>1</v>
      </c>
      <c r="D40" s="14" t="s">
        <v>205</v>
      </c>
      <c r="E40" s="15">
        <v>72.25378787878789</v>
      </c>
      <c r="F40" s="15">
        <v>87.25</v>
      </c>
      <c r="G40" s="22">
        <v>84.4</v>
      </c>
      <c r="H40" s="15">
        <v>89.95</v>
      </c>
      <c r="I40" s="15"/>
      <c r="J40" s="15">
        <f t="shared" si="3"/>
        <v>261.60000000000002</v>
      </c>
    </row>
    <row r="41" spans="1:10" x14ac:dyDescent="0.3">
      <c r="A41">
        <f t="shared" si="2"/>
        <v>12</v>
      </c>
      <c r="B41" s="14" t="s">
        <v>269</v>
      </c>
      <c r="C41" s="14" t="s">
        <v>12</v>
      </c>
      <c r="D41" s="14" t="s">
        <v>205</v>
      </c>
      <c r="E41" s="15">
        <v>0</v>
      </c>
      <c r="F41" s="15">
        <v>89.05</v>
      </c>
      <c r="G41" s="22">
        <v>76.33</v>
      </c>
      <c r="H41" s="15">
        <v>91.12</v>
      </c>
      <c r="I41" s="15"/>
      <c r="J41" s="15">
        <f t="shared" si="3"/>
        <v>256.5</v>
      </c>
    </row>
    <row r="42" spans="1:10" x14ac:dyDescent="0.3">
      <c r="A42">
        <f t="shared" si="2"/>
        <v>13</v>
      </c>
      <c r="B42" s="14" t="s">
        <v>490</v>
      </c>
      <c r="C42" s="14" t="s">
        <v>12</v>
      </c>
      <c r="D42" s="14" t="s">
        <v>205</v>
      </c>
      <c r="E42" s="15">
        <v>0</v>
      </c>
      <c r="F42" s="15">
        <v>69.3</v>
      </c>
      <c r="G42" s="22">
        <v>93.76</v>
      </c>
      <c r="H42" s="15">
        <v>91.71</v>
      </c>
      <c r="I42" s="15"/>
      <c r="J42" s="15">
        <f t="shared" si="3"/>
        <v>254.76999999999998</v>
      </c>
    </row>
    <row r="43" spans="1:10" x14ac:dyDescent="0.3">
      <c r="A43">
        <f t="shared" si="2"/>
        <v>14</v>
      </c>
      <c r="B43" s="33" t="s">
        <v>497</v>
      </c>
      <c r="C43" s="33" t="s">
        <v>141</v>
      </c>
      <c r="D43" s="33" t="s">
        <v>205</v>
      </c>
      <c r="E43" s="34">
        <v>0</v>
      </c>
      <c r="F43" s="15">
        <v>58.89</v>
      </c>
      <c r="G43" s="30">
        <v>98.72</v>
      </c>
      <c r="H43" s="15">
        <v>94.25</v>
      </c>
      <c r="I43" s="15"/>
      <c r="J43" s="15">
        <f t="shared" si="3"/>
        <v>251.86</v>
      </c>
    </row>
    <row r="44" spans="1:10" x14ac:dyDescent="0.3">
      <c r="A44">
        <f t="shared" si="2"/>
        <v>15</v>
      </c>
      <c r="B44" s="14" t="s">
        <v>231</v>
      </c>
      <c r="C44" s="14" t="s">
        <v>12</v>
      </c>
      <c r="D44" s="14" t="s">
        <v>205</v>
      </c>
      <c r="E44" s="15">
        <v>45.359848484848499</v>
      </c>
      <c r="F44" s="15">
        <v>88.69</v>
      </c>
      <c r="G44" s="22">
        <v>0</v>
      </c>
      <c r="H44" s="15">
        <v>86.7</v>
      </c>
      <c r="I44" s="15"/>
      <c r="J44" s="15">
        <f t="shared" si="3"/>
        <v>220.74984848484848</v>
      </c>
    </row>
    <row r="45" spans="1:10" x14ac:dyDescent="0.3">
      <c r="A45">
        <f t="shared" si="2"/>
        <v>16</v>
      </c>
      <c r="B45" s="33" t="s">
        <v>492</v>
      </c>
      <c r="C45" s="33" t="s">
        <v>493</v>
      </c>
      <c r="D45" s="33" t="s">
        <v>205</v>
      </c>
      <c r="E45" s="34">
        <v>0</v>
      </c>
      <c r="F45" s="19">
        <v>98.922800718132848</v>
      </c>
      <c r="G45" s="30">
        <v>100</v>
      </c>
      <c r="H45" s="15">
        <v>0</v>
      </c>
      <c r="I45" s="15"/>
      <c r="J45" s="15">
        <f t="shared" si="3"/>
        <v>198.92280071813286</v>
      </c>
    </row>
    <row r="46" spans="1:10" x14ac:dyDescent="0.3">
      <c r="A46">
        <f t="shared" si="2"/>
        <v>17</v>
      </c>
      <c r="B46" s="33" t="s">
        <v>494</v>
      </c>
      <c r="C46" s="33" t="s">
        <v>495</v>
      </c>
      <c r="D46" s="33" t="s">
        <v>205</v>
      </c>
      <c r="E46" s="34">
        <v>0</v>
      </c>
      <c r="F46" s="34">
        <v>92.639138240574496</v>
      </c>
      <c r="G46" s="30">
        <v>97.8</v>
      </c>
      <c r="H46" s="15">
        <v>0</v>
      </c>
      <c r="I46" s="15"/>
      <c r="J46" s="15">
        <f t="shared" si="3"/>
        <v>190.43913824057449</v>
      </c>
    </row>
    <row r="47" spans="1:10" x14ac:dyDescent="0.3">
      <c r="A47">
        <f t="shared" si="2"/>
        <v>18</v>
      </c>
      <c r="B47" s="14" t="s">
        <v>210</v>
      </c>
      <c r="C47" s="14" t="s">
        <v>126</v>
      </c>
      <c r="D47" s="14" t="s">
        <v>205</v>
      </c>
      <c r="E47" s="15">
        <v>93.75</v>
      </c>
      <c r="F47" s="30">
        <v>95.33</v>
      </c>
      <c r="G47" s="22">
        <v>0</v>
      </c>
      <c r="H47" s="15">
        <v>0</v>
      </c>
      <c r="I47" s="15"/>
      <c r="J47" s="15">
        <f t="shared" si="3"/>
        <v>189.07999999999998</v>
      </c>
    </row>
    <row r="48" spans="1:10" x14ac:dyDescent="0.3">
      <c r="A48">
        <f t="shared" si="2"/>
        <v>19</v>
      </c>
      <c r="B48" s="14" t="s">
        <v>211</v>
      </c>
      <c r="C48" s="14" t="s">
        <v>160</v>
      </c>
      <c r="D48" s="14" t="s">
        <v>205</v>
      </c>
      <c r="E48" s="15">
        <v>93.465909090909093</v>
      </c>
      <c r="F48" s="15">
        <v>0</v>
      </c>
      <c r="G48" s="22">
        <v>93.03</v>
      </c>
      <c r="H48" s="15">
        <v>0</v>
      </c>
      <c r="I48" s="15"/>
      <c r="J48" s="15">
        <f t="shared" si="3"/>
        <v>186.49590909090909</v>
      </c>
    </row>
    <row r="49" spans="1:10" x14ac:dyDescent="0.3">
      <c r="A49">
        <f t="shared" si="2"/>
        <v>20</v>
      </c>
      <c r="B49" s="14" t="s">
        <v>212</v>
      </c>
      <c r="C49" s="14" t="s">
        <v>4</v>
      </c>
      <c r="D49" s="14" t="s">
        <v>205</v>
      </c>
      <c r="E49" s="15">
        <v>93.465909090909093</v>
      </c>
      <c r="F49" s="15">
        <v>92.46</v>
      </c>
      <c r="G49" s="22">
        <v>0</v>
      </c>
      <c r="H49" s="15">
        <v>0</v>
      </c>
      <c r="I49" s="15"/>
      <c r="J49" s="15">
        <f t="shared" si="3"/>
        <v>185.9259090909091</v>
      </c>
    </row>
    <row r="50" spans="1:10" x14ac:dyDescent="0.3">
      <c r="A50">
        <f t="shared" si="2"/>
        <v>21</v>
      </c>
      <c r="B50" s="14" t="s">
        <v>489</v>
      </c>
      <c r="C50" s="14" t="s">
        <v>160</v>
      </c>
      <c r="D50" s="14" t="s">
        <v>205</v>
      </c>
      <c r="E50" s="15">
        <v>0</v>
      </c>
      <c r="F50" s="15">
        <v>91.56</v>
      </c>
      <c r="G50" s="22">
        <v>91.01</v>
      </c>
      <c r="H50" s="15">
        <v>0</v>
      </c>
      <c r="I50" s="15"/>
      <c r="J50" s="15">
        <f t="shared" si="3"/>
        <v>182.57</v>
      </c>
    </row>
    <row r="51" spans="1:10" x14ac:dyDescent="0.3">
      <c r="A51">
        <f t="shared" si="2"/>
        <v>22</v>
      </c>
      <c r="B51" s="43" t="s">
        <v>270</v>
      </c>
      <c r="C51" s="43" t="s">
        <v>245</v>
      </c>
      <c r="D51" s="43" t="s">
        <v>205</v>
      </c>
      <c r="E51" s="34">
        <v>0</v>
      </c>
      <c r="F51" s="34">
        <v>0</v>
      </c>
      <c r="G51" s="19">
        <v>95.779816513761475</v>
      </c>
      <c r="H51" s="64">
        <v>85.56</v>
      </c>
      <c r="J51" s="15">
        <f t="shared" si="3"/>
        <v>181.33981651376149</v>
      </c>
    </row>
    <row r="52" spans="1:10" x14ac:dyDescent="0.3">
      <c r="A52">
        <f t="shared" si="2"/>
        <v>23</v>
      </c>
      <c r="B52" s="33" t="s">
        <v>272</v>
      </c>
      <c r="C52" s="33" t="s">
        <v>126</v>
      </c>
      <c r="D52" s="33" t="s">
        <v>205</v>
      </c>
      <c r="E52" s="34">
        <v>0</v>
      </c>
      <c r="F52" s="15">
        <v>89.59</v>
      </c>
      <c r="G52" s="22">
        <v>90.09</v>
      </c>
      <c r="H52" s="15">
        <v>0</v>
      </c>
      <c r="I52" s="15"/>
      <c r="J52" s="15">
        <f t="shared" si="3"/>
        <v>179.68</v>
      </c>
    </row>
    <row r="53" spans="1:10" x14ac:dyDescent="0.3">
      <c r="A53">
        <f t="shared" si="2"/>
        <v>24</v>
      </c>
      <c r="B53" s="14" t="s">
        <v>224</v>
      </c>
      <c r="C53" s="14" t="s">
        <v>4</v>
      </c>
      <c r="D53" s="14" t="s">
        <v>205</v>
      </c>
      <c r="E53" s="15">
        <v>84.564393939393966</v>
      </c>
      <c r="F53" s="15">
        <v>86.36</v>
      </c>
      <c r="G53" s="22">
        <v>0</v>
      </c>
      <c r="H53" s="15">
        <v>0</v>
      </c>
      <c r="I53" s="15"/>
      <c r="J53" s="15">
        <f t="shared" si="3"/>
        <v>170.92439393939395</v>
      </c>
    </row>
    <row r="54" spans="1:10" x14ac:dyDescent="0.3">
      <c r="A54">
        <f t="shared" si="2"/>
        <v>25</v>
      </c>
      <c r="B54" s="17" t="s">
        <v>282</v>
      </c>
      <c r="C54" s="17" t="s">
        <v>12</v>
      </c>
      <c r="D54" s="17" t="s">
        <v>205</v>
      </c>
      <c r="E54" s="15">
        <v>0</v>
      </c>
      <c r="F54" s="15">
        <v>86.18</v>
      </c>
      <c r="G54" s="22">
        <v>0</v>
      </c>
      <c r="H54" s="15">
        <v>84.5</v>
      </c>
      <c r="I54" s="15"/>
      <c r="J54" s="15">
        <f t="shared" si="3"/>
        <v>170.68</v>
      </c>
    </row>
    <row r="55" spans="1:10" x14ac:dyDescent="0.3">
      <c r="A55">
        <f t="shared" si="2"/>
        <v>26</v>
      </c>
      <c r="B55" s="14" t="s">
        <v>230</v>
      </c>
      <c r="C55" s="14" t="s">
        <v>2</v>
      </c>
      <c r="D55" s="14" t="s">
        <v>205</v>
      </c>
      <c r="E55" s="15">
        <v>51.325757575757578</v>
      </c>
      <c r="F55" s="15">
        <v>0</v>
      </c>
      <c r="G55" s="22">
        <v>82.94</v>
      </c>
      <c r="H55" s="15">
        <v>0</v>
      </c>
      <c r="I55" s="15"/>
      <c r="J55" s="15">
        <f t="shared" si="3"/>
        <v>134.26575757575756</v>
      </c>
    </row>
    <row r="56" spans="1:10" x14ac:dyDescent="0.3">
      <c r="A56">
        <f t="shared" si="2"/>
        <v>27</v>
      </c>
      <c r="B56" s="18" t="s">
        <v>204</v>
      </c>
      <c r="C56" s="18" t="s">
        <v>111</v>
      </c>
      <c r="D56" s="20" t="s">
        <v>205</v>
      </c>
      <c r="E56" s="19">
        <v>100</v>
      </c>
      <c r="F56" s="15">
        <v>0</v>
      </c>
      <c r="G56" s="22">
        <v>0</v>
      </c>
      <c r="H56" s="15">
        <v>0</v>
      </c>
      <c r="I56" s="15"/>
      <c r="J56" s="15">
        <f t="shared" si="3"/>
        <v>100</v>
      </c>
    </row>
    <row r="57" spans="1:10" x14ac:dyDescent="0.3">
      <c r="A57">
        <f t="shared" si="2"/>
        <v>28</v>
      </c>
      <c r="B57" s="43" t="s">
        <v>710</v>
      </c>
      <c r="C57" s="43" t="s">
        <v>495</v>
      </c>
      <c r="D57" s="43" t="s">
        <v>205</v>
      </c>
      <c r="E57" s="34">
        <v>0</v>
      </c>
      <c r="F57" s="34">
        <v>0</v>
      </c>
      <c r="G57" s="15">
        <v>95.22935779816514</v>
      </c>
      <c r="H57" s="15">
        <v>0</v>
      </c>
      <c r="J57" s="15">
        <f t="shared" si="3"/>
        <v>95.22935779816514</v>
      </c>
    </row>
    <row r="58" spans="1:10" x14ac:dyDescent="0.3">
      <c r="A58">
        <f t="shared" si="2"/>
        <v>29</v>
      </c>
      <c r="B58" s="14" t="s">
        <v>209</v>
      </c>
      <c r="C58" s="14" t="s">
        <v>27</v>
      </c>
      <c r="D58" s="14" t="s">
        <v>205</v>
      </c>
      <c r="E58" s="15">
        <v>93.844696969696969</v>
      </c>
      <c r="F58" s="15">
        <v>0</v>
      </c>
      <c r="G58" s="22">
        <v>0</v>
      </c>
      <c r="H58" s="15">
        <v>0</v>
      </c>
      <c r="I58" s="15"/>
      <c r="J58" s="15">
        <f t="shared" si="3"/>
        <v>93.844696969696969</v>
      </c>
    </row>
    <row r="59" spans="1:10" x14ac:dyDescent="0.3">
      <c r="A59">
        <f t="shared" si="2"/>
        <v>30</v>
      </c>
      <c r="B59" s="43" t="s">
        <v>825</v>
      </c>
      <c r="C59" s="43" t="s">
        <v>117</v>
      </c>
      <c r="D59" s="43" t="s">
        <v>205</v>
      </c>
      <c r="E59" s="34">
        <v>0</v>
      </c>
      <c r="F59" s="34">
        <v>0</v>
      </c>
      <c r="G59" s="15">
        <v>93.577981651376149</v>
      </c>
      <c r="H59" s="15">
        <v>0</v>
      </c>
      <c r="J59" s="15">
        <f t="shared" si="3"/>
        <v>93.577981651376149</v>
      </c>
    </row>
    <row r="60" spans="1:10" x14ac:dyDescent="0.3">
      <c r="A60">
        <f t="shared" si="2"/>
        <v>31</v>
      </c>
      <c r="B60" s="14" t="s">
        <v>214</v>
      </c>
      <c r="C60" s="14" t="s">
        <v>5</v>
      </c>
      <c r="D60" s="14" t="s">
        <v>205</v>
      </c>
      <c r="E60" s="15">
        <v>92.89772727272728</v>
      </c>
      <c r="F60" s="15">
        <v>0</v>
      </c>
      <c r="G60" s="22">
        <v>0</v>
      </c>
      <c r="H60" s="15">
        <v>0</v>
      </c>
      <c r="I60" s="15"/>
      <c r="J60" s="15">
        <f t="shared" si="3"/>
        <v>92.89772727272728</v>
      </c>
    </row>
    <row r="61" spans="1:10" x14ac:dyDescent="0.3">
      <c r="A61">
        <f t="shared" si="2"/>
        <v>32</v>
      </c>
      <c r="B61" s="45" t="s">
        <v>533</v>
      </c>
      <c r="C61" s="42" t="s">
        <v>495</v>
      </c>
      <c r="D61" s="42" t="s">
        <v>205</v>
      </c>
      <c r="E61" s="34">
        <v>0</v>
      </c>
      <c r="F61" s="34">
        <v>0</v>
      </c>
      <c r="G61" s="34">
        <v>0</v>
      </c>
      <c r="H61" s="15">
        <v>92.361227103167991</v>
      </c>
      <c r="J61" s="15">
        <f t="shared" si="3"/>
        <v>92.361227103167991</v>
      </c>
    </row>
    <row r="62" spans="1:10" x14ac:dyDescent="0.3">
      <c r="A62">
        <f t="shared" ref="A62:A98" si="4">RANK(J62,$J$30:$J$98)</f>
        <v>33</v>
      </c>
      <c r="B62" s="45" t="s">
        <v>853</v>
      </c>
      <c r="C62" s="42" t="s">
        <v>126</v>
      </c>
      <c r="D62" s="42" t="s">
        <v>205</v>
      </c>
      <c r="E62" s="34">
        <v>0</v>
      </c>
      <c r="F62" s="34">
        <v>0</v>
      </c>
      <c r="G62" s="34">
        <v>0</v>
      </c>
      <c r="H62" s="15">
        <v>92.082846166694509</v>
      </c>
      <c r="J62" s="15">
        <f t="shared" ref="J62:J93" si="5">LARGE(E62:I62,1)+LARGE(E62:I62,2)+LARGE(E62:I62,3)</f>
        <v>92.082846166694509</v>
      </c>
    </row>
    <row r="63" spans="1:10" x14ac:dyDescent="0.3">
      <c r="A63">
        <f t="shared" si="4"/>
        <v>34</v>
      </c>
      <c r="B63" s="45" t="s">
        <v>852</v>
      </c>
      <c r="C63" s="42" t="s">
        <v>495</v>
      </c>
      <c r="D63" s="42" t="s">
        <v>205</v>
      </c>
      <c r="E63" s="34">
        <v>0</v>
      </c>
      <c r="F63" s="34">
        <v>0</v>
      </c>
      <c r="G63" s="34">
        <v>0</v>
      </c>
      <c r="H63" s="15">
        <v>91.897258875712197</v>
      </c>
      <c r="J63" s="15">
        <f t="shared" si="5"/>
        <v>91.897258875712197</v>
      </c>
    </row>
    <row r="64" spans="1:10" x14ac:dyDescent="0.3">
      <c r="A64">
        <f t="shared" si="4"/>
        <v>35</v>
      </c>
      <c r="B64" s="45" t="s">
        <v>519</v>
      </c>
      <c r="C64" s="42" t="s">
        <v>19</v>
      </c>
      <c r="D64" s="42" t="s">
        <v>205</v>
      </c>
      <c r="E64" s="34">
        <v>0</v>
      </c>
      <c r="F64" s="34">
        <v>0</v>
      </c>
      <c r="G64" s="34">
        <v>0</v>
      </c>
      <c r="H64" s="15">
        <v>91.772915390754036</v>
      </c>
      <c r="J64" s="15">
        <f t="shared" si="5"/>
        <v>91.772915390754036</v>
      </c>
    </row>
    <row r="65" spans="1:10" x14ac:dyDescent="0.3">
      <c r="A65">
        <f t="shared" si="4"/>
        <v>36</v>
      </c>
      <c r="B65" s="43" t="s">
        <v>712</v>
      </c>
      <c r="C65" s="43" t="s">
        <v>117</v>
      </c>
      <c r="D65" s="43" t="s">
        <v>205</v>
      </c>
      <c r="E65" s="34">
        <v>0</v>
      </c>
      <c r="F65" s="34">
        <v>0</v>
      </c>
      <c r="G65" s="15">
        <v>91.743119266055047</v>
      </c>
      <c r="H65" s="15">
        <v>0</v>
      </c>
      <c r="J65" s="15">
        <f t="shared" si="5"/>
        <v>91.743119266055047</v>
      </c>
    </row>
    <row r="66" spans="1:10" x14ac:dyDescent="0.3">
      <c r="A66">
        <f t="shared" si="4"/>
        <v>37</v>
      </c>
      <c r="B66" s="45" t="s">
        <v>511</v>
      </c>
      <c r="C66" s="42" t="s">
        <v>141</v>
      </c>
      <c r="D66" s="42" t="s">
        <v>205</v>
      </c>
      <c r="E66" s="34">
        <v>0</v>
      </c>
      <c r="F66" s="34">
        <v>0</v>
      </c>
      <c r="G66" s="34">
        <v>0</v>
      </c>
      <c r="H66" s="15">
        <v>91.680121745262895</v>
      </c>
      <c r="J66" s="15">
        <f t="shared" si="5"/>
        <v>91.680121745262895</v>
      </c>
    </row>
    <row r="67" spans="1:10" x14ac:dyDescent="0.3">
      <c r="A67">
        <f t="shared" si="4"/>
        <v>38</v>
      </c>
      <c r="B67" s="45" t="s">
        <v>854</v>
      </c>
      <c r="C67" s="42" t="s">
        <v>126</v>
      </c>
      <c r="D67" s="42" t="s">
        <v>205</v>
      </c>
      <c r="E67" s="34">
        <v>0</v>
      </c>
      <c r="F67" s="34">
        <v>0</v>
      </c>
      <c r="G67" s="34">
        <v>0</v>
      </c>
      <c r="H67" s="15">
        <v>91.216153517807115</v>
      </c>
      <c r="J67" s="15">
        <f t="shared" si="5"/>
        <v>91.216153517807115</v>
      </c>
    </row>
    <row r="68" spans="1:10" x14ac:dyDescent="0.3">
      <c r="A68">
        <f t="shared" si="4"/>
        <v>39</v>
      </c>
      <c r="B68" s="45" t="s">
        <v>521</v>
      </c>
      <c r="C68" s="42" t="s">
        <v>495</v>
      </c>
      <c r="D68" s="42" t="s">
        <v>205</v>
      </c>
      <c r="E68" s="34">
        <v>0</v>
      </c>
      <c r="F68" s="34">
        <v>0</v>
      </c>
      <c r="G68" s="34">
        <v>0</v>
      </c>
      <c r="H68" s="15">
        <v>91.123359872315945</v>
      </c>
      <c r="J68" s="15">
        <f t="shared" si="5"/>
        <v>91.123359872315945</v>
      </c>
    </row>
    <row r="69" spans="1:10" x14ac:dyDescent="0.3">
      <c r="A69">
        <f t="shared" si="4"/>
        <v>40</v>
      </c>
      <c r="B69" s="14" t="s">
        <v>217</v>
      </c>
      <c r="C69" s="14" t="s">
        <v>4</v>
      </c>
      <c r="D69" s="14" t="s">
        <v>205</v>
      </c>
      <c r="E69" s="15">
        <v>90.719696969696997</v>
      </c>
      <c r="F69" s="15">
        <v>0</v>
      </c>
      <c r="G69" s="22">
        <v>0</v>
      </c>
      <c r="H69" s="15">
        <v>0</v>
      </c>
      <c r="I69" s="15"/>
      <c r="J69" s="15">
        <f t="shared" si="5"/>
        <v>90.719696969696997</v>
      </c>
    </row>
    <row r="70" spans="1:10" x14ac:dyDescent="0.3">
      <c r="A70">
        <f t="shared" si="4"/>
        <v>41</v>
      </c>
      <c r="B70" s="43" t="s">
        <v>826</v>
      </c>
      <c r="C70" s="43" t="s">
        <v>35</v>
      </c>
      <c r="D70" s="43" t="s">
        <v>205</v>
      </c>
      <c r="E70" s="34">
        <v>0</v>
      </c>
      <c r="F70" s="34">
        <v>0</v>
      </c>
      <c r="G70" s="15">
        <v>89.541284403669721</v>
      </c>
      <c r="H70" s="15">
        <v>0</v>
      </c>
      <c r="J70" s="15">
        <f t="shared" si="5"/>
        <v>89.541284403669721</v>
      </c>
    </row>
    <row r="71" spans="1:10" x14ac:dyDescent="0.3">
      <c r="A71">
        <f t="shared" si="4"/>
        <v>42</v>
      </c>
      <c r="B71" s="52" t="s">
        <v>265</v>
      </c>
      <c r="C71" s="46" t="s">
        <v>141</v>
      </c>
      <c r="D71" s="46" t="s">
        <v>205</v>
      </c>
      <c r="E71" s="34">
        <v>0</v>
      </c>
      <c r="F71" s="34">
        <v>0</v>
      </c>
      <c r="G71" s="34">
        <v>0</v>
      </c>
      <c r="H71" s="15">
        <v>89.453074253475123</v>
      </c>
      <c r="J71" s="15">
        <f t="shared" si="5"/>
        <v>89.453074253475123</v>
      </c>
    </row>
    <row r="72" spans="1:10" x14ac:dyDescent="0.3">
      <c r="A72">
        <f t="shared" si="4"/>
        <v>43</v>
      </c>
      <c r="B72" s="14" t="s">
        <v>222</v>
      </c>
      <c r="C72" s="14" t="s">
        <v>27</v>
      </c>
      <c r="D72" s="14" t="s">
        <v>205</v>
      </c>
      <c r="E72" s="15">
        <v>89.299242424242451</v>
      </c>
      <c r="F72" s="15">
        <v>0</v>
      </c>
      <c r="G72" s="22">
        <v>0</v>
      </c>
      <c r="H72" s="15">
        <v>0</v>
      </c>
      <c r="I72" s="15"/>
      <c r="J72" s="15">
        <f t="shared" si="5"/>
        <v>89.299242424242451</v>
      </c>
    </row>
    <row r="73" spans="1:10" x14ac:dyDescent="0.3">
      <c r="A73">
        <f t="shared" si="4"/>
        <v>44</v>
      </c>
      <c r="B73" s="14" t="s">
        <v>223</v>
      </c>
      <c r="C73" s="14" t="s">
        <v>27</v>
      </c>
      <c r="D73" s="14" t="s">
        <v>205</v>
      </c>
      <c r="E73" s="15">
        <v>89.204545454545453</v>
      </c>
      <c r="F73" s="15">
        <v>0</v>
      </c>
      <c r="G73" s="22">
        <v>0</v>
      </c>
      <c r="H73" s="15">
        <v>0</v>
      </c>
      <c r="I73" s="15"/>
      <c r="J73" s="15">
        <f t="shared" si="5"/>
        <v>89.204545454545453</v>
      </c>
    </row>
    <row r="74" spans="1:10" x14ac:dyDescent="0.3">
      <c r="A74">
        <f t="shared" si="4"/>
        <v>45</v>
      </c>
      <c r="B74" s="49" t="s">
        <v>711</v>
      </c>
      <c r="C74" s="49" t="s">
        <v>3</v>
      </c>
      <c r="D74" s="49" t="s">
        <v>205</v>
      </c>
      <c r="E74" s="34">
        <v>0</v>
      </c>
      <c r="F74" s="34">
        <v>0</v>
      </c>
      <c r="G74" s="15">
        <v>88.807339449541303</v>
      </c>
      <c r="H74" s="15">
        <v>0</v>
      </c>
      <c r="J74" s="15">
        <f t="shared" si="5"/>
        <v>88.807339449541303</v>
      </c>
    </row>
    <row r="75" spans="1:10" x14ac:dyDescent="0.3">
      <c r="A75">
        <f t="shared" si="4"/>
        <v>46</v>
      </c>
      <c r="B75" s="32" t="s">
        <v>240</v>
      </c>
      <c r="C75" s="32" t="s">
        <v>160</v>
      </c>
      <c r="D75" s="32" t="s">
        <v>205</v>
      </c>
      <c r="E75" s="15">
        <v>0</v>
      </c>
      <c r="F75" s="15">
        <v>0</v>
      </c>
      <c r="G75" s="22">
        <v>87.71</v>
      </c>
      <c r="H75" s="15">
        <v>0</v>
      </c>
      <c r="I75" s="15"/>
      <c r="J75" s="15">
        <f t="shared" si="5"/>
        <v>87.71</v>
      </c>
    </row>
    <row r="76" spans="1:10" x14ac:dyDescent="0.3">
      <c r="A76">
        <f t="shared" si="4"/>
        <v>47</v>
      </c>
      <c r="B76" s="52" t="s">
        <v>515</v>
      </c>
      <c r="C76" s="46" t="s">
        <v>12</v>
      </c>
      <c r="D76" s="46" t="s">
        <v>205</v>
      </c>
      <c r="E76" s="34">
        <v>0</v>
      </c>
      <c r="F76" s="34">
        <v>0</v>
      </c>
      <c r="G76" s="34">
        <v>0</v>
      </c>
      <c r="H76" s="15">
        <v>87.535957537627809</v>
      </c>
      <c r="J76" s="15">
        <f t="shared" si="5"/>
        <v>87.535957537627809</v>
      </c>
    </row>
    <row r="77" spans="1:10" x14ac:dyDescent="0.3">
      <c r="A77">
        <f t="shared" si="4"/>
        <v>48</v>
      </c>
      <c r="B77" s="45" t="s">
        <v>837</v>
      </c>
      <c r="C77" s="42" t="s">
        <v>495</v>
      </c>
      <c r="D77" s="42" t="s">
        <v>205</v>
      </c>
      <c r="E77" s="34">
        <v>0</v>
      </c>
      <c r="F77" s="34">
        <v>0</v>
      </c>
      <c r="G77" s="34">
        <v>0</v>
      </c>
      <c r="H77" s="15">
        <v>87.257576601154369</v>
      </c>
      <c r="J77" s="15">
        <f t="shared" si="5"/>
        <v>87.257576601154369</v>
      </c>
    </row>
    <row r="78" spans="1:10" x14ac:dyDescent="0.3">
      <c r="A78">
        <f t="shared" si="4"/>
        <v>49</v>
      </c>
      <c r="B78" s="43" t="s">
        <v>276</v>
      </c>
      <c r="C78" s="43" t="s">
        <v>131</v>
      </c>
      <c r="D78" s="43" t="s">
        <v>205</v>
      </c>
      <c r="E78" s="34">
        <v>0</v>
      </c>
      <c r="F78" s="34">
        <v>0</v>
      </c>
      <c r="G78" s="15">
        <v>86.788990825688074</v>
      </c>
      <c r="H78" s="15">
        <v>0</v>
      </c>
      <c r="J78" s="15">
        <f t="shared" si="5"/>
        <v>86.788990825688074</v>
      </c>
    </row>
    <row r="79" spans="1:10" x14ac:dyDescent="0.3">
      <c r="A79">
        <f t="shared" si="4"/>
        <v>50</v>
      </c>
      <c r="B79" s="33" t="s">
        <v>496</v>
      </c>
      <c r="C79" s="33" t="s">
        <v>160</v>
      </c>
      <c r="D79" s="33" t="s">
        <v>205</v>
      </c>
      <c r="E79" s="34">
        <v>0</v>
      </c>
      <c r="F79" s="15">
        <v>85.82</v>
      </c>
      <c r="G79" s="22">
        <v>0</v>
      </c>
      <c r="H79" s="15">
        <v>0</v>
      </c>
      <c r="I79" s="15"/>
      <c r="J79" s="15">
        <f t="shared" si="5"/>
        <v>85.82</v>
      </c>
    </row>
    <row r="80" spans="1:10" x14ac:dyDescent="0.3">
      <c r="A80">
        <f t="shared" si="4"/>
        <v>51</v>
      </c>
      <c r="B80" s="14" t="s">
        <v>225</v>
      </c>
      <c r="C80" s="14" t="s">
        <v>27</v>
      </c>
      <c r="D80" s="14" t="s">
        <v>205</v>
      </c>
      <c r="E80" s="15">
        <v>79.829545454545453</v>
      </c>
      <c r="F80" s="15">
        <v>0</v>
      </c>
      <c r="G80" s="22">
        <v>0</v>
      </c>
      <c r="H80" s="15">
        <v>0</v>
      </c>
      <c r="I80" s="15"/>
      <c r="J80" s="15">
        <f t="shared" si="5"/>
        <v>79.829545454545453</v>
      </c>
    </row>
    <row r="81" spans="1:10" x14ac:dyDescent="0.3">
      <c r="A81">
        <f t="shared" si="4"/>
        <v>52</v>
      </c>
      <c r="B81" s="14" t="s">
        <v>238</v>
      </c>
      <c r="C81" s="14" t="s">
        <v>3</v>
      </c>
      <c r="D81" s="14" t="s">
        <v>205</v>
      </c>
      <c r="E81" s="15">
        <v>0</v>
      </c>
      <c r="F81" s="15">
        <v>0</v>
      </c>
      <c r="G81" s="22">
        <v>0</v>
      </c>
      <c r="H81" s="15">
        <v>78.53</v>
      </c>
      <c r="I81" s="15"/>
      <c r="J81" s="15">
        <f t="shared" si="5"/>
        <v>78.53</v>
      </c>
    </row>
    <row r="82" spans="1:10" x14ac:dyDescent="0.3">
      <c r="A82">
        <f t="shared" si="4"/>
        <v>53</v>
      </c>
      <c r="B82" s="14" t="s">
        <v>488</v>
      </c>
      <c r="C82" s="14" t="s">
        <v>4</v>
      </c>
      <c r="D82" s="14" t="s">
        <v>205</v>
      </c>
      <c r="E82" s="15">
        <v>0</v>
      </c>
      <c r="F82" s="15">
        <v>75.22</v>
      </c>
      <c r="G82" s="22">
        <v>0</v>
      </c>
      <c r="H82" s="15">
        <v>0</v>
      </c>
      <c r="I82" s="15"/>
      <c r="J82" s="15">
        <f t="shared" si="5"/>
        <v>75.22</v>
      </c>
    </row>
    <row r="83" spans="1:10" x14ac:dyDescent="0.3">
      <c r="A83">
        <f t="shared" si="4"/>
        <v>54</v>
      </c>
      <c r="B83" s="33" t="s">
        <v>491</v>
      </c>
      <c r="C83" s="33" t="s">
        <v>456</v>
      </c>
      <c r="D83" s="33" t="s">
        <v>205</v>
      </c>
      <c r="E83" s="34">
        <v>0</v>
      </c>
      <c r="F83" s="34">
        <v>64.272890484739662</v>
      </c>
      <c r="G83" s="22">
        <v>0</v>
      </c>
      <c r="H83" s="15">
        <v>0</v>
      </c>
      <c r="I83" s="15"/>
      <c r="J83" s="15">
        <f t="shared" si="5"/>
        <v>64.272890484739662</v>
      </c>
    </row>
    <row r="84" spans="1:10" x14ac:dyDescent="0.3">
      <c r="A84">
        <f t="shared" si="4"/>
        <v>55</v>
      </c>
      <c r="B84" s="14" t="s">
        <v>228</v>
      </c>
      <c r="C84" s="14" t="s">
        <v>4</v>
      </c>
      <c r="D84" s="14" t="s">
        <v>205</v>
      </c>
      <c r="E84" s="15">
        <v>64.015151515151516</v>
      </c>
      <c r="F84" s="15">
        <v>0</v>
      </c>
      <c r="G84" s="22">
        <v>0</v>
      </c>
      <c r="H84" s="15">
        <v>0</v>
      </c>
      <c r="I84" s="15"/>
      <c r="J84" s="15">
        <f t="shared" si="5"/>
        <v>64.015151515151516</v>
      </c>
    </row>
    <row r="85" spans="1:10" x14ac:dyDescent="0.3">
      <c r="A85">
        <f t="shared" si="4"/>
        <v>56</v>
      </c>
      <c r="B85" s="14" t="s">
        <v>229</v>
      </c>
      <c r="C85" s="14" t="s">
        <v>5</v>
      </c>
      <c r="D85" s="14" t="s">
        <v>205</v>
      </c>
      <c r="E85" s="15">
        <v>59.564393939393952</v>
      </c>
      <c r="F85" s="15">
        <v>0</v>
      </c>
      <c r="G85" s="22">
        <v>0</v>
      </c>
      <c r="H85" s="15">
        <v>0</v>
      </c>
      <c r="I85" s="15"/>
      <c r="J85" s="15">
        <f t="shared" si="5"/>
        <v>59.564393939393952</v>
      </c>
    </row>
    <row r="86" spans="1:10" x14ac:dyDescent="0.3">
      <c r="A86">
        <f t="shared" si="4"/>
        <v>57</v>
      </c>
      <c r="B86" s="45" t="s">
        <v>264</v>
      </c>
      <c r="C86" s="42" t="s">
        <v>141</v>
      </c>
      <c r="D86" s="42" t="s">
        <v>205</v>
      </c>
      <c r="E86" s="34">
        <v>0</v>
      </c>
      <c r="F86" s="34">
        <v>0</v>
      </c>
      <c r="G86" s="34">
        <v>0</v>
      </c>
      <c r="H86" s="15">
        <v>53.666276933355604</v>
      </c>
      <c r="J86" s="15">
        <f t="shared" si="5"/>
        <v>53.666276933355604</v>
      </c>
    </row>
    <row r="87" spans="1:10" x14ac:dyDescent="0.3">
      <c r="A87">
        <f t="shared" si="4"/>
        <v>58</v>
      </c>
      <c r="B87" s="14" t="s">
        <v>234</v>
      </c>
      <c r="C87" s="14" t="s">
        <v>141</v>
      </c>
      <c r="D87" s="14" t="s">
        <v>205</v>
      </c>
      <c r="E87" s="15">
        <v>0</v>
      </c>
      <c r="F87" s="15">
        <v>0</v>
      </c>
      <c r="G87" s="22">
        <v>0</v>
      </c>
      <c r="H87" s="15">
        <v>0</v>
      </c>
      <c r="I87" s="15"/>
      <c r="J87" s="15">
        <f t="shared" si="5"/>
        <v>0</v>
      </c>
    </row>
    <row r="88" spans="1:10" x14ac:dyDescent="0.3">
      <c r="A88">
        <f t="shared" si="4"/>
        <v>58</v>
      </c>
      <c r="B88" s="14" t="s">
        <v>220</v>
      </c>
      <c r="C88" s="14" t="s">
        <v>19</v>
      </c>
      <c r="D88" s="14" t="s">
        <v>205</v>
      </c>
      <c r="E88" s="15">
        <v>0</v>
      </c>
      <c r="F88" s="15">
        <v>0</v>
      </c>
      <c r="G88" s="22">
        <v>0</v>
      </c>
      <c r="H88" s="15">
        <v>0</v>
      </c>
      <c r="I88" s="15"/>
      <c r="J88" s="15">
        <f t="shared" si="5"/>
        <v>0</v>
      </c>
    </row>
    <row r="89" spans="1:10" x14ac:dyDescent="0.3">
      <c r="A89">
        <f t="shared" si="4"/>
        <v>58</v>
      </c>
      <c r="B89" s="14" t="s">
        <v>239</v>
      </c>
      <c r="C89" s="14" t="s">
        <v>12</v>
      </c>
      <c r="D89" s="14" t="s">
        <v>205</v>
      </c>
      <c r="E89" s="15">
        <v>0</v>
      </c>
      <c r="F89" s="15">
        <v>0</v>
      </c>
      <c r="G89" s="22">
        <v>0</v>
      </c>
      <c r="H89" s="15">
        <v>0</v>
      </c>
      <c r="I89" s="15"/>
      <c r="J89" s="15">
        <f t="shared" si="5"/>
        <v>0</v>
      </c>
    </row>
    <row r="90" spans="1:10" x14ac:dyDescent="0.3">
      <c r="A90">
        <f t="shared" si="4"/>
        <v>58</v>
      </c>
      <c r="B90" s="14" t="s">
        <v>218</v>
      </c>
      <c r="C90" s="14" t="s">
        <v>4</v>
      </c>
      <c r="D90" s="14" t="s">
        <v>205</v>
      </c>
      <c r="E90" s="15">
        <v>0</v>
      </c>
      <c r="F90" s="15">
        <v>0</v>
      </c>
      <c r="G90" s="22">
        <v>0</v>
      </c>
      <c r="H90" s="15">
        <v>0</v>
      </c>
      <c r="I90" s="15"/>
      <c r="J90" s="15">
        <f t="shared" si="5"/>
        <v>0</v>
      </c>
    </row>
    <row r="91" spans="1:10" x14ac:dyDescent="0.3">
      <c r="A91">
        <f t="shared" si="4"/>
        <v>58</v>
      </c>
      <c r="B91" s="43" t="s">
        <v>732</v>
      </c>
      <c r="C91" s="43" t="s">
        <v>727</v>
      </c>
      <c r="D91" s="43" t="s">
        <v>205</v>
      </c>
      <c r="E91" s="34">
        <v>0</v>
      </c>
      <c r="F91" s="34">
        <v>0</v>
      </c>
      <c r="G91" s="15">
        <v>0</v>
      </c>
      <c r="H91" s="15">
        <v>0</v>
      </c>
      <c r="J91" s="15">
        <f t="shared" si="5"/>
        <v>0</v>
      </c>
    </row>
    <row r="92" spans="1:10" x14ac:dyDescent="0.3">
      <c r="A92">
        <f t="shared" si="4"/>
        <v>58</v>
      </c>
      <c r="B92" s="43" t="s">
        <v>263</v>
      </c>
      <c r="C92" s="43" t="s">
        <v>111</v>
      </c>
      <c r="D92" s="43" t="s">
        <v>205</v>
      </c>
      <c r="E92" s="34">
        <v>0</v>
      </c>
      <c r="F92" s="34">
        <v>0</v>
      </c>
      <c r="G92" s="15">
        <v>0</v>
      </c>
      <c r="H92" s="15">
        <v>0</v>
      </c>
      <c r="J92" s="15">
        <f t="shared" si="5"/>
        <v>0</v>
      </c>
    </row>
    <row r="93" spans="1:10" x14ac:dyDescent="0.3">
      <c r="A93">
        <f t="shared" si="4"/>
        <v>58</v>
      </c>
      <c r="B93" s="14" t="s">
        <v>235</v>
      </c>
      <c r="C93" s="14" t="s">
        <v>61</v>
      </c>
      <c r="D93" s="14" t="s">
        <v>205</v>
      </c>
      <c r="E93" s="15">
        <v>0</v>
      </c>
      <c r="F93" s="15">
        <v>0</v>
      </c>
      <c r="G93" s="22">
        <v>0</v>
      </c>
      <c r="H93" s="15">
        <v>0</v>
      </c>
      <c r="I93" s="15"/>
      <c r="J93" s="15">
        <f t="shared" si="5"/>
        <v>0</v>
      </c>
    </row>
    <row r="94" spans="1:10" x14ac:dyDescent="0.3">
      <c r="A94">
        <f t="shared" si="4"/>
        <v>58</v>
      </c>
      <c r="B94" s="43" t="s">
        <v>312</v>
      </c>
      <c r="C94" s="43" t="s">
        <v>126</v>
      </c>
      <c r="D94" s="43" t="s">
        <v>205</v>
      </c>
      <c r="E94" s="34">
        <v>0</v>
      </c>
      <c r="F94" s="34">
        <v>0</v>
      </c>
      <c r="G94" s="15">
        <v>0</v>
      </c>
      <c r="H94" s="15">
        <v>0</v>
      </c>
      <c r="J94" s="15">
        <f t="shared" ref="J94:J98" si="6">LARGE(E94:I94,1)+LARGE(E94:I94,2)+LARGE(E94:I94,3)</f>
        <v>0</v>
      </c>
    </row>
    <row r="95" spans="1:10" x14ac:dyDescent="0.3">
      <c r="A95">
        <f t="shared" si="4"/>
        <v>58</v>
      </c>
      <c r="B95" s="14" t="s">
        <v>237</v>
      </c>
      <c r="C95" s="14" t="s">
        <v>126</v>
      </c>
      <c r="D95" s="14" t="s">
        <v>205</v>
      </c>
      <c r="E95" s="15">
        <v>0</v>
      </c>
      <c r="F95" s="15">
        <v>0</v>
      </c>
      <c r="G95" s="22">
        <v>0</v>
      </c>
      <c r="H95" s="15">
        <v>0</v>
      </c>
      <c r="I95" s="15"/>
      <c r="J95" s="15">
        <f t="shared" si="6"/>
        <v>0</v>
      </c>
    </row>
    <row r="96" spans="1:10" x14ac:dyDescent="0.3">
      <c r="A96">
        <f t="shared" si="4"/>
        <v>58</v>
      </c>
      <c r="B96" s="14" t="s">
        <v>232</v>
      </c>
      <c r="C96" s="14" t="s">
        <v>61</v>
      </c>
      <c r="D96" s="14" t="s">
        <v>205</v>
      </c>
      <c r="E96" s="15">
        <v>0</v>
      </c>
      <c r="F96" s="15">
        <v>0</v>
      </c>
      <c r="G96" s="22">
        <v>0</v>
      </c>
      <c r="H96" s="15">
        <v>0</v>
      </c>
      <c r="I96" s="15"/>
      <c r="J96" s="15">
        <f t="shared" si="6"/>
        <v>0</v>
      </c>
    </row>
    <row r="97" spans="1:10" x14ac:dyDescent="0.3">
      <c r="A97">
        <f t="shared" si="4"/>
        <v>58</v>
      </c>
      <c r="B97" s="14" t="s">
        <v>236</v>
      </c>
      <c r="C97" s="14" t="s">
        <v>5</v>
      </c>
      <c r="D97" s="14" t="s">
        <v>205</v>
      </c>
      <c r="E97" s="15">
        <v>0</v>
      </c>
      <c r="F97" s="15">
        <v>0</v>
      </c>
      <c r="G97" s="22">
        <v>0</v>
      </c>
      <c r="H97" s="15">
        <v>0</v>
      </c>
      <c r="I97" s="15"/>
      <c r="J97" s="15">
        <f t="shared" si="6"/>
        <v>0</v>
      </c>
    </row>
    <row r="98" spans="1:10" x14ac:dyDescent="0.3">
      <c r="A98">
        <f t="shared" si="4"/>
        <v>58</v>
      </c>
      <c r="B98" s="14" t="s">
        <v>233</v>
      </c>
      <c r="C98" s="14" t="s">
        <v>111</v>
      </c>
      <c r="D98" s="14" t="s">
        <v>205</v>
      </c>
      <c r="E98" s="15">
        <v>0</v>
      </c>
      <c r="F98" s="15">
        <v>0</v>
      </c>
      <c r="G98" s="22">
        <v>0</v>
      </c>
      <c r="H98" s="15">
        <v>0</v>
      </c>
      <c r="I98" s="15"/>
      <c r="J98" s="15">
        <f t="shared" si="6"/>
        <v>0</v>
      </c>
    </row>
  </sheetData>
  <sortState xmlns:xlrd2="http://schemas.microsoft.com/office/spreadsheetml/2017/richdata2" ref="A30:J98">
    <sortCondition ref="A3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B49DF-E1A1-42F6-8527-5EFD039819AD}">
  <sheetPr codeName="Sheet5"/>
  <dimension ref="A1:J96"/>
  <sheetViews>
    <sheetView topLeftCell="A11" zoomScale="60" zoomScaleNormal="60" workbookViewId="0">
      <selection activeCell="N33" sqref="N33"/>
    </sheetView>
  </sheetViews>
  <sheetFormatPr defaultRowHeight="14.4" x14ac:dyDescent="0.3"/>
  <cols>
    <col min="2" max="2" width="27.109375" bestFit="1" customWidth="1"/>
    <col min="3" max="3" width="15.88671875" bestFit="1" customWidth="1"/>
    <col min="4" max="4" width="15.33203125" bestFit="1" customWidth="1"/>
    <col min="5" max="7" width="13.5546875" bestFit="1" customWidth="1"/>
    <col min="8" max="8" width="14.44140625" bestFit="1" customWidth="1"/>
    <col min="9" max="9" width="16.44140625" bestFit="1" customWidth="1"/>
    <col min="10" max="10" width="13.5546875" bestFit="1" customWidth="1"/>
  </cols>
  <sheetData>
    <row r="1" spans="1:10" x14ac:dyDescent="0.3">
      <c r="A1" s="1"/>
      <c r="B1" s="1"/>
      <c r="C1" s="1"/>
      <c r="D1" s="2"/>
      <c r="E1" s="10" t="s">
        <v>1</v>
      </c>
      <c r="F1" s="10" t="s">
        <v>4</v>
      </c>
      <c r="G1" s="10" t="s">
        <v>2</v>
      </c>
      <c r="H1" s="11" t="s">
        <v>12</v>
      </c>
      <c r="I1" s="10" t="s">
        <v>3</v>
      </c>
      <c r="J1" s="9" t="s">
        <v>6</v>
      </c>
    </row>
    <row r="2" spans="1:10" x14ac:dyDescent="0.3">
      <c r="A2" s="3" t="s">
        <v>379</v>
      </c>
      <c r="B2" s="3" t="s">
        <v>7</v>
      </c>
      <c r="C2" s="4" t="s">
        <v>8</v>
      </c>
      <c r="D2" s="4" t="s">
        <v>0</v>
      </c>
      <c r="E2" s="5" t="s">
        <v>9</v>
      </c>
      <c r="F2" s="6" t="s">
        <v>9</v>
      </c>
      <c r="G2" s="7" t="s">
        <v>9</v>
      </c>
      <c r="H2" s="7" t="s">
        <v>9</v>
      </c>
      <c r="I2" s="8" t="s">
        <v>9</v>
      </c>
      <c r="J2" s="8" t="s">
        <v>9</v>
      </c>
    </row>
    <row r="3" spans="1:10" x14ac:dyDescent="0.3">
      <c r="A3">
        <f t="shared" ref="A3:A24" si="0">RANK(J3,$J$3:$J$24)</f>
        <v>1</v>
      </c>
      <c r="B3" s="17" t="s">
        <v>140</v>
      </c>
      <c r="C3" s="17" t="s">
        <v>141</v>
      </c>
      <c r="D3" s="14" t="s">
        <v>138</v>
      </c>
      <c r="E3" s="15">
        <v>98.901098901098891</v>
      </c>
      <c r="F3" s="50">
        <v>96</v>
      </c>
      <c r="G3" s="19">
        <v>100</v>
      </c>
      <c r="H3" s="50">
        <v>99.48</v>
      </c>
      <c r="I3" s="50"/>
      <c r="J3" s="50">
        <f t="shared" ref="J3:J24" si="1">LARGE(E3:I3,1)+LARGE(E3:I3,2)+LARGE(E3:I3,3)</f>
        <v>298.38109890109888</v>
      </c>
    </row>
    <row r="4" spans="1:10" x14ac:dyDescent="0.3">
      <c r="A4">
        <f t="shared" si="0"/>
        <v>2</v>
      </c>
      <c r="B4" s="17" t="s">
        <v>472</v>
      </c>
      <c r="C4" s="17" t="s">
        <v>12</v>
      </c>
      <c r="D4" s="17" t="s">
        <v>138</v>
      </c>
      <c r="E4" s="15">
        <v>0</v>
      </c>
      <c r="F4" s="50">
        <v>100</v>
      </c>
      <c r="G4" s="50">
        <v>96.52</v>
      </c>
      <c r="H4" s="50">
        <v>96.52</v>
      </c>
      <c r="I4" s="50"/>
      <c r="J4" s="50">
        <f t="shared" si="1"/>
        <v>293.03999999999996</v>
      </c>
    </row>
    <row r="5" spans="1:10" x14ac:dyDescent="0.3">
      <c r="A5">
        <f t="shared" si="0"/>
        <v>3</v>
      </c>
      <c r="B5" s="14" t="s">
        <v>147</v>
      </c>
      <c r="C5" s="14" t="s">
        <v>12</v>
      </c>
      <c r="D5" s="14" t="s">
        <v>138</v>
      </c>
      <c r="E5" s="15">
        <v>91.608391608391599</v>
      </c>
      <c r="F5" s="50">
        <v>94.05</v>
      </c>
      <c r="G5" s="50">
        <v>86.63</v>
      </c>
      <c r="H5" s="50">
        <v>88.39</v>
      </c>
      <c r="I5" s="50"/>
      <c r="J5" s="50">
        <f t="shared" si="1"/>
        <v>274.04839160839157</v>
      </c>
    </row>
    <row r="6" spans="1:10" x14ac:dyDescent="0.3">
      <c r="A6">
        <f t="shared" si="0"/>
        <v>4</v>
      </c>
      <c r="B6" s="14" t="s">
        <v>143</v>
      </c>
      <c r="C6" s="14" t="s">
        <v>3</v>
      </c>
      <c r="D6" s="14" t="s">
        <v>138</v>
      </c>
      <c r="E6" s="15">
        <v>94.505494505494497</v>
      </c>
      <c r="F6" s="50">
        <v>96</v>
      </c>
      <c r="G6" s="50">
        <v>0</v>
      </c>
      <c r="H6" s="50">
        <v>0</v>
      </c>
      <c r="I6" s="50"/>
      <c r="J6" s="50">
        <f t="shared" si="1"/>
        <v>190.50549450549448</v>
      </c>
    </row>
    <row r="7" spans="1:10" x14ac:dyDescent="0.3">
      <c r="A7">
        <f t="shared" si="0"/>
        <v>5</v>
      </c>
      <c r="B7" s="14" t="s">
        <v>144</v>
      </c>
      <c r="C7" s="14" t="s">
        <v>19</v>
      </c>
      <c r="D7" s="14" t="s">
        <v>138</v>
      </c>
      <c r="E7" s="15">
        <v>93.606393606393596</v>
      </c>
      <c r="F7" s="50">
        <v>92.01</v>
      </c>
      <c r="G7" s="50">
        <v>0</v>
      </c>
      <c r="H7" s="50">
        <v>0</v>
      </c>
      <c r="I7" s="50"/>
      <c r="J7" s="50">
        <f t="shared" si="1"/>
        <v>185.61639360639361</v>
      </c>
    </row>
    <row r="8" spans="1:10" x14ac:dyDescent="0.3">
      <c r="A8">
        <f t="shared" si="0"/>
        <v>6</v>
      </c>
      <c r="B8" s="14" t="s">
        <v>145</v>
      </c>
      <c r="C8" s="14" t="s">
        <v>126</v>
      </c>
      <c r="D8" s="14" t="s">
        <v>138</v>
      </c>
      <c r="E8" s="15">
        <v>93.006993006993</v>
      </c>
      <c r="F8" s="50">
        <v>0</v>
      </c>
      <c r="G8" s="50">
        <v>91.58</v>
      </c>
      <c r="H8" s="50">
        <v>0</v>
      </c>
      <c r="I8" s="50"/>
      <c r="J8" s="50">
        <f t="shared" si="1"/>
        <v>184.586993006993</v>
      </c>
    </row>
    <row r="9" spans="1:10" x14ac:dyDescent="0.3">
      <c r="A9">
        <f t="shared" si="0"/>
        <v>7</v>
      </c>
      <c r="B9" s="17" t="s">
        <v>622</v>
      </c>
      <c r="C9" s="17" t="s">
        <v>61</v>
      </c>
      <c r="D9" s="17" t="s">
        <v>138</v>
      </c>
      <c r="E9" s="15">
        <v>0</v>
      </c>
      <c r="F9" s="50">
        <v>0</v>
      </c>
      <c r="G9" s="50">
        <v>91.21</v>
      </c>
      <c r="H9" s="50">
        <v>93.24</v>
      </c>
      <c r="I9" s="50"/>
      <c r="J9" s="50">
        <f t="shared" si="1"/>
        <v>184.45</v>
      </c>
    </row>
    <row r="10" spans="1:10" x14ac:dyDescent="0.3">
      <c r="A10">
        <f t="shared" si="0"/>
        <v>8</v>
      </c>
      <c r="B10" s="17" t="s">
        <v>623</v>
      </c>
      <c r="C10" s="17" t="s">
        <v>495</v>
      </c>
      <c r="D10" s="17" t="s">
        <v>138</v>
      </c>
      <c r="E10" s="15">
        <v>0</v>
      </c>
      <c r="F10" s="50">
        <v>0</v>
      </c>
      <c r="G10" s="50">
        <v>59.71</v>
      </c>
      <c r="H10" s="50">
        <v>95.42</v>
      </c>
      <c r="I10" s="50"/>
      <c r="J10" s="50">
        <f t="shared" si="1"/>
        <v>155.13</v>
      </c>
    </row>
    <row r="11" spans="1:10" x14ac:dyDescent="0.3">
      <c r="A11">
        <f t="shared" si="0"/>
        <v>9</v>
      </c>
      <c r="B11" s="17" t="s">
        <v>197</v>
      </c>
      <c r="C11" s="17" t="s">
        <v>5</v>
      </c>
      <c r="D11" s="17" t="s">
        <v>138</v>
      </c>
      <c r="E11" s="15">
        <v>0</v>
      </c>
      <c r="F11" s="50">
        <v>0</v>
      </c>
      <c r="G11" s="50">
        <v>0</v>
      </c>
      <c r="H11" s="50">
        <v>100</v>
      </c>
      <c r="I11" s="50"/>
      <c r="J11" s="50">
        <f t="shared" si="1"/>
        <v>100</v>
      </c>
    </row>
    <row r="12" spans="1:10" x14ac:dyDescent="0.3">
      <c r="A12">
        <f t="shared" si="0"/>
        <v>10</v>
      </c>
      <c r="B12" s="17" t="s">
        <v>137</v>
      </c>
      <c r="C12" s="17" t="s">
        <v>14</v>
      </c>
      <c r="D12" s="14" t="s">
        <v>138</v>
      </c>
      <c r="E12" s="15">
        <v>99.999999999999986</v>
      </c>
      <c r="F12" s="50">
        <v>0</v>
      </c>
      <c r="G12" s="50">
        <v>0</v>
      </c>
      <c r="H12" s="50">
        <v>0</v>
      </c>
      <c r="I12" s="50"/>
      <c r="J12" s="50">
        <f t="shared" si="1"/>
        <v>99.999999999999986</v>
      </c>
    </row>
    <row r="13" spans="1:10" x14ac:dyDescent="0.3">
      <c r="A13">
        <f t="shared" si="0"/>
        <v>11</v>
      </c>
      <c r="B13" s="17" t="s">
        <v>706</v>
      </c>
      <c r="C13" s="17" t="s">
        <v>12</v>
      </c>
      <c r="D13" s="17" t="s">
        <v>138</v>
      </c>
      <c r="E13" s="15">
        <v>0</v>
      </c>
      <c r="F13" s="50">
        <v>0</v>
      </c>
      <c r="G13" s="50">
        <v>0</v>
      </c>
      <c r="H13" s="50">
        <v>99.32</v>
      </c>
      <c r="I13" s="50"/>
      <c r="J13" s="50">
        <f t="shared" si="1"/>
        <v>99.32</v>
      </c>
    </row>
    <row r="14" spans="1:10" x14ac:dyDescent="0.3">
      <c r="A14">
        <f t="shared" si="0"/>
        <v>12</v>
      </c>
      <c r="B14" s="17" t="s">
        <v>473</v>
      </c>
      <c r="C14" s="17" t="s">
        <v>3</v>
      </c>
      <c r="D14" s="17" t="s">
        <v>138</v>
      </c>
      <c r="E14" s="15">
        <v>0</v>
      </c>
      <c r="F14" s="50">
        <v>96.49</v>
      </c>
      <c r="G14" s="50">
        <v>0</v>
      </c>
      <c r="H14" s="50">
        <v>0</v>
      </c>
      <c r="I14" s="50"/>
      <c r="J14" s="50">
        <f t="shared" si="1"/>
        <v>96.49</v>
      </c>
    </row>
    <row r="15" spans="1:10" x14ac:dyDescent="0.3">
      <c r="A15">
        <f t="shared" si="0"/>
        <v>13</v>
      </c>
      <c r="B15" s="32" t="s">
        <v>142</v>
      </c>
      <c r="C15" s="32" t="s">
        <v>1</v>
      </c>
      <c r="D15" s="32" t="s">
        <v>138</v>
      </c>
      <c r="E15" s="15">
        <v>96.203796203796202</v>
      </c>
      <c r="F15" s="50">
        <v>0</v>
      </c>
      <c r="G15" s="50">
        <v>0</v>
      </c>
      <c r="H15" s="50">
        <v>0</v>
      </c>
      <c r="I15" s="50"/>
      <c r="J15" s="50">
        <f t="shared" si="1"/>
        <v>96.203796203796202</v>
      </c>
    </row>
    <row r="16" spans="1:10" x14ac:dyDescent="0.3">
      <c r="A16">
        <f t="shared" si="0"/>
        <v>14</v>
      </c>
      <c r="B16" s="23" t="s">
        <v>192</v>
      </c>
      <c r="C16" s="23" t="s">
        <v>160</v>
      </c>
      <c r="D16" s="23" t="s">
        <v>138</v>
      </c>
      <c r="E16" s="15">
        <v>0</v>
      </c>
      <c r="F16" s="50">
        <v>0</v>
      </c>
      <c r="G16" s="50">
        <v>0</v>
      </c>
      <c r="H16" s="50">
        <v>94.51</v>
      </c>
      <c r="I16" s="50"/>
      <c r="J16" s="50">
        <f t="shared" si="1"/>
        <v>94.51</v>
      </c>
    </row>
    <row r="17" spans="1:10" x14ac:dyDescent="0.3">
      <c r="A17">
        <f t="shared" si="0"/>
        <v>15</v>
      </c>
      <c r="B17" s="32" t="s">
        <v>146</v>
      </c>
      <c r="C17" s="32" t="s">
        <v>2</v>
      </c>
      <c r="D17" s="32" t="s">
        <v>138</v>
      </c>
      <c r="E17" s="15">
        <v>92.507492507492501</v>
      </c>
      <c r="F17" s="50">
        <v>0</v>
      </c>
      <c r="G17" s="50">
        <v>0</v>
      </c>
      <c r="H17" s="50">
        <v>0</v>
      </c>
      <c r="I17" s="50"/>
      <c r="J17" s="50">
        <f t="shared" si="1"/>
        <v>92.507492507492501</v>
      </c>
    </row>
    <row r="18" spans="1:10" x14ac:dyDescent="0.3">
      <c r="A18">
        <f t="shared" si="0"/>
        <v>16</v>
      </c>
      <c r="B18" s="23" t="s">
        <v>196</v>
      </c>
      <c r="C18" s="23" t="s">
        <v>3</v>
      </c>
      <c r="D18" s="23" t="s">
        <v>138</v>
      </c>
      <c r="E18" s="15">
        <v>0</v>
      </c>
      <c r="F18" s="50">
        <v>0</v>
      </c>
      <c r="G18" s="50">
        <v>0</v>
      </c>
      <c r="H18" s="50">
        <v>91.84</v>
      </c>
      <c r="I18" s="50"/>
      <c r="J18" s="50">
        <f t="shared" si="1"/>
        <v>91.84</v>
      </c>
    </row>
    <row r="19" spans="1:10" x14ac:dyDescent="0.3">
      <c r="A19">
        <f t="shared" si="0"/>
        <v>17</v>
      </c>
      <c r="B19" s="23" t="s">
        <v>707</v>
      </c>
      <c r="C19" s="23" t="s">
        <v>495</v>
      </c>
      <c r="D19" s="23" t="s">
        <v>138</v>
      </c>
      <c r="E19" s="15">
        <v>0</v>
      </c>
      <c r="F19" s="50">
        <v>0</v>
      </c>
      <c r="G19" s="50">
        <v>0</v>
      </c>
      <c r="H19" s="50">
        <v>58.71</v>
      </c>
      <c r="I19" s="50"/>
      <c r="J19" s="50">
        <f t="shared" si="1"/>
        <v>58.71</v>
      </c>
    </row>
    <row r="20" spans="1:10" x14ac:dyDescent="0.3">
      <c r="A20">
        <f t="shared" si="0"/>
        <v>18</v>
      </c>
      <c r="B20" s="23" t="s">
        <v>624</v>
      </c>
      <c r="C20" s="23" t="s">
        <v>3</v>
      </c>
      <c r="D20" s="23" t="s">
        <v>138</v>
      </c>
      <c r="E20" s="15">
        <v>0</v>
      </c>
      <c r="F20" s="50">
        <v>0</v>
      </c>
      <c r="G20" s="50">
        <v>51.92</v>
      </c>
      <c r="H20" s="50">
        <v>0</v>
      </c>
      <c r="I20" s="50"/>
      <c r="J20" s="50">
        <f t="shared" si="1"/>
        <v>51.92</v>
      </c>
    </row>
    <row r="21" spans="1:10" x14ac:dyDescent="0.3">
      <c r="A21">
        <f t="shared" si="0"/>
        <v>19</v>
      </c>
      <c r="B21" s="23" t="s">
        <v>139</v>
      </c>
      <c r="C21" s="23" t="s">
        <v>1</v>
      </c>
      <c r="D21" s="32" t="s">
        <v>138</v>
      </c>
      <c r="E21" s="15">
        <v>0</v>
      </c>
      <c r="F21" s="50">
        <v>0</v>
      </c>
      <c r="G21" s="50">
        <v>0</v>
      </c>
      <c r="H21" s="50">
        <v>0</v>
      </c>
      <c r="I21" s="50"/>
      <c r="J21" s="50">
        <f t="shared" si="1"/>
        <v>0</v>
      </c>
    </row>
    <row r="22" spans="1:10" x14ac:dyDescent="0.3">
      <c r="A22">
        <f t="shared" si="0"/>
        <v>19</v>
      </c>
      <c r="B22" s="32" t="s">
        <v>148</v>
      </c>
      <c r="C22" s="32" t="s">
        <v>3</v>
      </c>
      <c r="D22" s="32" t="s">
        <v>138</v>
      </c>
      <c r="E22" s="15">
        <v>0</v>
      </c>
      <c r="F22" s="50">
        <v>0</v>
      </c>
      <c r="G22" s="50">
        <v>0</v>
      </c>
      <c r="H22" s="50">
        <v>0</v>
      </c>
      <c r="I22" s="50"/>
      <c r="J22" s="50">
        <f t="shared" si="1"/>
        <v>0</v>
      </c>
    </row>
    <row r="23" spans="1:10" x14ac:dyDescent="0.3">
      <c r="A23">
        <f t="shared" si="0"/>
        <v>19</v>
      </c>
      <c r="B23" s="32" t="s">
        <v>149</v>
      </c>
      <c r="C23" s="32" t="s">
        <v>1</v>
      </c>
      <c r="D23" s="32" t="s">
        <v>138</v>
      </c>
      <c r="E23" s="15">
        <v>0</v>
      </c>
      <c r="F23" s="50">
        <v>0</v>
      </c>
      <c r="G23" s="50">
        <v>0</v>
      </c>
      <c r="H23" s="50">
        <v>0</v>
      </c>
      <c r="I23" s="50"/>
      <c r="J23" s="50">
        <f t="shared" si="1"/>
        <v>0</v>
      </c>
    </row>
    <row r="24" spans="1:10" x14ac:dyDescent="0.3">
      <c r="A24">
        <f t="shared" si="0"/>
        <v>19</v>
      </c>
      <c r="B24" s="32" t="s">
        <v>150</v>
      </c>
      <c r="C24" s="32" t="s">
        <v>54</v>
      </c>
      <c r="D24" s="32" t="s">
        <v>138</v>
      </c>
      <c r="E24" s="15">
        <v>0</v>
      </c>
      <c r="F24" s="50">
        <v>0</v>
      </c>
      <c r="G24" s="50">
        <v>0</v>
      </c>
      <c r="H24" s="50">
        <v>0</v>
      </c>
      <c r="I24" s="50"/>
      <c r="J24" s="50">
        <f t="shared" si="1"/>
        <v>0</v>
      </c>
    </row>
    <row r="25" spans="1:10" x14ac:dyDescent="0.3">
      <c r="B25" s="32"/>
      <c r="C25" s="32"/>
      <c r="D25" s="32"/>
      <c r="E25" s="15"/>
      <c r="F25" s="50"/>
      <c r="G25" s="50"/>
      <c r="H25" s="50"/>
      <c r="I25" s="50"/>
      <c r="J25" s="50"/>
    </row>
    <row r="26" spans="1:10" x14ac:dyDescent="0.3">
      <c r="B26" s="32"/>
      <c r="C26" s="32"/>
      <c r="D26" s="32"/>
      <c r="E26" s="15"/>
      <c r="F26" s="50"/>
      <c r="G26" s="50"/>
      <c r="H26" s="50"/>
      <c r="I26" s="50"/>
      <c r="J26" s="50"/>
    </row>
    <row r="27" spans="1:10" x14ac:dyDescent="0.3">
      <c r="B27" s="32"/>
      <c r="C27" s="32"/>
      <c r="D27" s="32"/>
      <c r="E27" s="15"/>
      <c r="F27" s="50"/>
      <c r="G27" s="50"/>
      <c r="H27" s="50"/>
      <c r="I27" s="50"/>
      <c r="J27" s="50"/>
    </row>
    <row r="28" spans="1:10" x14ac:dyDescent="0.3">
      <c r="A28" s="1"/>
      <c r="B28" s="1"/>
      <c r="C28" s="1"/>
      <c r="D28" s="2"/>
      <c r="E28" s="10" t="s">
        <v>1</v>
      </c>
      <c r="F28" s="10" t="s">
        <v>4</v>
      </c>
      <c r="G28" s="10" t="s">
        <v>2</v>
      </c>
      <c r="H28" s="11" t="s">
        <v>12</v>
      </c>
      <c r="I28" s="10" t="s">
        <v>3</v>
      </c>
      <c r="J28" s="9" t="s">
        <v>6</v>
      </c>
    </row>
    <row r="29" spans="1:10" x14ac:dyDescent="0.3">
      <c r="A29" s="3" t="s">
        <v>379</v>
      </c>
      <c r="B29" s="3" t="s">
        <v>7</v>
      </c>
      <c r="C29" s="4" t="s">
        <v>8</v>
      </c>
      <c r="D29" s="4" t="s">
        <v>0</v>
      </c>
      <c r="E29" s="5" t="s">
        <v>9</v>
      </c>
      <c r="F29" s="6" t="s">
        <v>9</v>
      </c>
      <c r="G29" s="7" t="s">
        <v>9</v>
      </c>
      <c r="H29" s="7" t="s">
        <v>9</v>
      </c>
      <c r="I29" s="8" t="s">
        <v>9</v>
      </c>
      <c r="J29" s="8" t="s">
        <v>9</v>
      </c>
    </row>
    <row r="30" spans="1:10" x14ac:dyDescent="0.3">
      <c r="A30">
        <f t="shared" ref="A30:A61" si="2">RANK(J30,$J$30:$J$96)</f>
        <v>1</v>
      </c>
      <c r="B30" s="17" t="s">
        <v>474</v>
      </c>
      <c r="C30" s="17" t="s">
        <v>456</v>
      </c>
      <c r="D30" s="17" t="s">
        <v>152</v>
      </c>
      <c r="E30" s="26">
        <v>0</v>
      </c>
      <c r="F30" s="29">
        <v>97.97</v>
      </c>
      <c r="G30" s="59">
        <v>98.05</v>
      </c>
      <c r="H30" s="29">
        <v>100</v>
      </c>
      <c r="I30" s="26"/>
      <c r="J30" s="53">
        <f t="shared" ref="J30:J61" si="3">LARGE(E30:I30,1)+LARGE(E30:I30,2)+LARGE(E30:I30,3)</f>
        <v>296.02</v>
      </c>
    </row>
    <row r="31" spans="1:10" x14ac:dyDescent="0.3">
      <c r="A31">
        <f t="shared" si="2"/>
        <v>2</v>
      </c>
      <c r="B31" s="17" t="s">
        <v>154</v>
      </c>
      <c r="C31" s="17" t="s">
        <v>111</v>
      </c>
      <c r="D31" s="14" t="s">
        <v>152</v>
      </c>
      <c r="E31" s="26">
        <v>96.051423324150591</v>
      </c>
      <c r="F31" s="29">
        <v>100</v>
      </c>
      <c r="G31" s="28">
        <v>99.72</v>
      </c>
      <c r="H31" s="26">
        <v>0</v>
      </c>
      <c r="I31" s="26"/>
      <c r="J31" s="53">
        <f t="shared" si="3"/>
        <v>295.77142332415059</v>
      </c>
    </row>
    <row r="32" spans="1:10" x14ac:dyDescent="0.3">
      <c r="A32">
        <f t="shared" si="2"/>
        <v>3</v>
      </c>
      <c r="B32" s="14" t="s">
        <v>155</v>
      </c>
      <c r="C32" s="14" t="s">
        <v>35</v>
      </c>
      <c r="D32" s="14" t="s">
        <v>152</v>
      </c>
      <c r="E32" s="26">
        <v>95.775941230486694</v>
      </c>
      <c r="F32" s="26">
        <v>97.6</v>
      </c>
      <c r="G32" s="28">
        <v>99.26</v>
      </c>
      <c r="H32" s="26">
        <v>0</v>
      </c>
      <c r="I32" s="26"/>
      <c r="J32" s="53">
        <f t="shared" si="3"/>
        <v>292.63594123048671</v>
      </c>
    </row>
    <row r="33" spans="1:10" x14ac:dyDescent="0.3">
      <c r="A33">
        <f t="shared" si="2"/>
        <v>4</v>
      </c>
      <c r="B33" s="14" t="s">
        <v>176</v>
      </c>
      <c r="C33" s="14" t="s">
        <v>141</v>
      </c>
      <c r="D33" s="14" t="s">
        <v>152</v>
      </c>
      <c r="E33" s="26">
        <v>89.715335169880603</v>
      </c>
      <c r="F33" s="26">
        <v>95.57</v>
      </c>
      <c r="G33" s="59">
        <v>94.16</v>
      </c>
      <c r="H33" s="26">
        <v>97.25</v>
      </c>
      <c r="I33" s="26"/>
      <c r="J33" s="53">
        <f t="shared" si="3"/>
        <v>286.98</v>
      </c>
    </row>
    <row r="34" spans="1:10" x14ac:dyDescent="0.3">
      <c r="A34">
        <f t="shared" si="2"/>
        <v>5</v>
      </c>
      <c r="B34" s="14" t="s">
        <v>164</v>
      </c>
      <c r="C34" s="14" t="s">
        <v>141</v>
      </c>
      <c r="D34" s="14" t="s">
        <v>152</v>
      </c>
      <c r="E34" s="26">
        <v>92.194674012855828</v>
      </c>
      <c r="F34" s="26">
        <v>94.64</v>
      </c>
      <c r="G34" s="59">
        <v>94.72</v>
      </c>
      <c r="H34" s="26">
        <v>97.12</v>
      </c>
      <c r="I34" s="26"/>
      <c r="J34" s="53">
        <f t="shared" si="3"/>
        <v>286.48</v>
      </c>
    </row>
    <row r="35" spans="1:10" x14ac:dyDescent="0.3">
      <c r="A35">
        <f t="shared" si="2"/>
        <v>6</v>
      </c>
      <c r="B35" s="14" t="s">
        <v>159</v>
      </c>
      <c r="C35" s="14" t="s">
        <v>160</v>
      </c>
      <c r="D35" s="14" t="s">
        <v>152</v>
      </c>
      <c r="E35" s="26">
        <v>93.29660238751147</v>
      </c>
      <c r="F35" s="26">
        <v>93.167128347183734</v>
      </c>
      <c r="G35" s="59">
        <v>95.09</v>
      </c>
      <c r="H35" s="26">
        <v>97.5</v>
      </c>
      <c r="I35" s="26"/>
      <c r="J35" s="53">
        <f t="shared" si="3"/>
        <v>285.88660238751146</v>
      </c>
    </row>
    <row r="36" spans="1:10" x14ac:dyDescent="0.3">
      <c r="A36">
        <f t="shared" si="2"/>
        <v>7</v>
      </c>
      <c r="B36" s="14" t="s">
        <v>158</v>
      </c>
      <c r="C36" s="14" t="s">
        <v>35</v>
      </c>
      <c r="D36" s="14" t="s">
        <v>152</v>
      </c>
      <c r="E36" s="26">
        <v>93.388429752066116</v>
      </c>
      <c r="F36" s="26">
        <v>94.182825484764535</v>
      </c>
      <c r="G36" s="59">
        <v>94.35</v>
      </c>
      <c r="H36" s="26">
        <v>0</v>
      </c>
      <c r="I36" s="26"/>
      <c r="J36" s="53">
        <f t="shared" si="3"/>
        <v>281.92125523683069</v>
      </c>
    </row>
    <row r="37" spans="1:10" x14ac:dyDescent="0.3">
      <c r="A37">
        <f t="shared" si="2"/>
        <v>8</v>
      </c>
      <c r="B37" s="14" t="s">
        <v>172</v>
      </c>
      <c r="C37" s="14" t="s">
        <v>117</v>
      </c>
      <c r="D37" s="14" t="s">
        <v>152</v>
      </c>
      <c r="E37" s="26">
        <v>91.092745638200157</v>
      </c>
      <c r="F37" s="26">
        <v>94.92</v>
      </c>
      <c r="G37" s="59">
        <v>93.23</v>
      </c>
      <c r="H37" s="26">
        <v>93.37</v>
      </c>
      <c r="I37" s="26"/>
      <c r="J37" s="53">
        <f t="shared" si="3"/>
        <v>281.52000000000004</v>
      </c>
    </row>
    <row r="38" spans="1:10" x14ac:dyDescent="0.3">
      <c r="A38">
        <f t="shared" si="2"/>
        <v>9</v>
      </c>
      <c r="B38" s="14" t="s">
        <v>165</v>
      </c>
      <c r="C38" s="14" t="s">
        <v>141</v>
      </c>
      <c r="D38" s="14" t="s">
        <v>152</v>
      </c>
      <c r="E38" s="26">
        <v>92.102846648301195</v>
      </c>
      <c r="F38" s="26">
        <v>93.813481071098792</v>
      </c>
      <c r="G38" s="59">
        <v>95</v>
      </c>
      <c r="H38" s="26">
        <v>0</v>
      </c>
      <c r="I38" s="26"/>
      <c r="J38" s="53">
        <f t="shared" si="3"/>
        <v>280.91632771939999</v>
      </c>
    </row>
    <row r="39" spans="1:10" x14ac:dyDescent="0.3">
      <c r="A39">
        <f t="shared" si="2"/>
        <v>10</v>
      </c>
      <c r="B39" s="14" t="s">
        <v>170</v>
      </c>
      <c r="C39" s="14" t="s">
        <v>14</v>
      </c>
      <c r="D39" s="14" t="s">
        <v>152</v>
      </c>
      <c r="E39" s="26">
        <v>91.460055096418728</v>
      </c>
      <c r="F39" s="26">
        <v>93.444136657433049</v>
      </c>
      <c r="G39" s="59">
        <v>95.74</v>
      </c>
      <c r="H39" s="26">
        <v>0</v>
      </c>
      <c r="I39" s="26"/>
      <c r="J39" s="53">
        <f t="shared" si="3"/>
        <v>280.64419175385177</v>
      </c>
    </row>
    <row r="40" spans="1:10" x14ac:dyDescent="0.3">
      <c r="A40">
        <f t="shared" si="2"/>
        <v>11</v>
      </c>
      <c r="B40" s="14" t="s">
        <v>169</v>
      </c>
      <c r="C40" s="14" t="s">
        <v>19</v>
      </c>
      <c r="D40" s="14" t="s">
        <v>152</v>
      </c>
      <c r="E40" s="26">
        <v>91.64370982552802</v>
      </c>
      <c r="F40" s="26">
        <v>96.398891966758995</v>
      </c>
      <c r="G40" s="59">
        <v>92.22</v>
      </c>
      <c r="H40" s="26">
        <v>0</v>
      </c>
      <c r="I40" s="26"/>
      <c r="J40" s="53">
        <f t="shared" si="3"/>
        <v>280.262601792287</v>
      </c>
    </row>
    <row r="41" spans="1:10" x14ac:dyDescent="0.3">
      <c r="A41">
        <f t="shared" si="2"/>
        <v>12</v>
      </c>
      <c r="B41" s="14" t="s">
        <v>163</v>
      </c>
      <c r="C41" s="14" t="s">
        <v>59</v>
      </c>
      <c r="D41" s="14" t="s">
        <v>152</v>
      </c>
      <c r="E41" s="26">
        <v>92.561983471074399</v>
      </c>
      <c r="F41" s="26">
        <v>30.655586334256697</v>
      </c>
      <c r="G41" s="59">
        <v>91.1</v>
      </c>
      <c r="H41" s="26">
        <v>94.62</v>
      </c>
      <c r="I41" s="26"/>
      <c r="J41" s="53">
        <f t="shared" si="3"/>
        <v>278.2819834710744</v>
      </c>
    </row>
    <row r="42" spans="1:10" x14ac:dyDescent="0.3">
      <c r="A42">
        <f t="shared" si="2"/>
        <v>13</v>
      </c>
      <c r="B42" s="17" t="s">
        <v>478</v>
      </c>
      <c r="C42" s="17" t="s">
        <v>117</v>
      </c>
      <c r="D42" s="17" t="s">
        <v>152</v>
      </c>
      <c r="E42" s="26">
        <v>0</v>
      </c>
      <c r="F42" s="26">
        <v>96.58</v>
      </c>
      <c r="G42" s="59">
        <v>89.06</v>
      </c>
      <c r="H42" s="26">
        <v>92.56</v>
      </c>
      <c r="I42" s="26"/>
      <c r="J42" s="53">
        <f t="shared" si="3"/>
        <v>278.2</v>
      </c>
    </row>
    <row r="43" spans="1:10" x14ac:dyDescent="0.3">
      <c r="A43">
        <f t="shared" si="2"/>
        <v>14</v>
      </c>
      <c r="B43" s="14" t="s">
        <v>168</v>
      </c>
      <c r="C43" s="14" t="s">
        <v>3</v>
      </c>
      <c r="D43" s="14" t="s">
        <v>152</v>
      </c>
      <c r="E43" s="26">
        <v>91.64370982552802</v>
      </c>
      <c r="F43" s="26">
        <v>92.243767313019376</v>
      </c>
      <c r="G43" s="59">
        <v>93.42</v>
      </c>
      <c r="H43" s="26">
        <v>92.44</v>
      </c>
      <c r="I43" s="26"/>
      <c r="J43" s="53">
        <f t="shared" si="3"/>
        <v>278.10376731301938</v>
      </c>
    </row>
    <row r="44" spans="1:10" x14ac:dyDescent="0.3">
      <c r="A44">
        <f t="shared" si="2"/>
        <v>15</v>
      </c>
      <c r="B44" s="14" t="s">
        <v>166</v>
      </c>
      <c r="C44" s="14" t="s">
        <v>5</v>
      </c>
      <c r="D44" s="14" t="s">
        <v>152</v>
      </c>
      <c r="E44" s="26">
        <v>91.919191919191917</v>
      </c>
      <c r="F44" s="26">
        <v>91.320406278855017</v>
      </c>
      <c r="G44" s="59">
        <v>89.99</v>
      </c>
      <c r="H44" s="26">
        <v>0</v>
      </c>
      <c r="I44" s="26"/>
      <c r="J44" s="53">
        <f t="shared" si="3"/>
        <v>273.22959819804692</v>
      </c>
    </row>
    <row r="45" spans="1:10" x14ac:dyDescent="0.3">
      <c r="A45">
        <f t="shared" si="2"/>
        <v>16</v>
      </c>
      <c r="B45" s="14" t="s">
        <v>233</v>
      </c>
      <c r="C45" s="14" t="s">
        <v>111</v>
      </c>
      <c r="D45" s="14" t="s">
        <v>152</v>
      </c>
      <c r="E45" s="26">
        <v>0</v>
      </c>
      <c r="F45" s="26">
        <v>91.228070175438589</v>
      </c>
      <c r="G45" s="59">
        <v>91.38</v>
      </c>
      <c r="H45" s="26">
        <v>90.25</v>
      </c>
      <c r="I45" s="26"/>
      <c r="J45" s="53">
        <f t="shared" si="3"/>
        <v>272.85807017543857</v>
      </c>
    </row>
    <row r="46" spans="1:10" x14ac:dyDescent="0.3">
      <c r="A46">
        <f t="shared" si="2"/>
        <v>17</v>
      </c>
      <c r="B46" s="14" t="s">
        <v>175</v>
      </c>
      <c r="C46" s="14" t="s">
        <v>12</v>
      </c>
      <c r="D46" s="14" t="s">
        <v>152</v>
      </c>
      <c r="E46" s="26">
        <v>89.807162534435278</v>
      </c>
      <c r="F46" s="26">
        <v>90.58</v>
      </c>
      <c r="G46" s="59">
        <v>65.62</v>
      </c>
      <c r="H46" s="26">
        <v>88.5</v>
      </c>
      <c r="I46" s="26"/>
      <c r="J46" s="53">
        <f t="shared" si="3"/>
        <v>268.88716253443528</v>
      </c>
    </row>
    <row r="47" spans="1:10" x14ac:dyDescent="0.3">
      <c r="A47">
        <f t="shared" si="2"/>
        <v>18</v>
      </c>
      <c r="B47" s="14" t="s">
        <v>178</v>
      </c>
      <c r="C47" s="14" t="s">
        <v>12</v>
      </c>
      <c r="D47" s="14" t="s">
        <v>152</v>
      </c>
      <c r="E47" s="26">
        <v>88.888888888888886</v>
      </c>
      <c r="F47" s="26">
        <v>52.26</v>
      </c>
      <c r="G47" s="59">
        <v>85.17</v>
      </c>
      <c r="H47" s="26">
        <v>81.81</v>
      </c>
      <c r="I47" s="26"/>
      <c r="J47" s="53">
        <f t="shared" si="3"/>
        <v>255.86888888888888</v>
      </c>
    </row>
    <row r="48" spans="1:10" x14ac:dyDescent="0.3">
      <c r="A48">
        <f t="shared" si="2"/>
        <v>19</v>
      </c>
      <c r="B48" s="14" t="s">
        <v>180</v>
      </c>
      <c r="C48" s="14" t="s">
        <v>126</v>
      </c>
      <c r="D48" s="14" t="s">
        <v>152</v>
      </c>
      <c r="E48" s="26">
        <v>87.970615243342507</v>
      </c>
      <c r="F48" s="26">
        <v>52.91</v>
      </c>
      <c r="G48" s="59">
        <v>89.81</v>
      </c>
      <c r="H48" s="26">
        <v>0</v>
      </c>
      <c r="I48" s="26"/>
      <c r="J48" s="53">
        <f t="shared" si="3"/>
        <v>230.69061524334251</v>
      </c>
    </row>
    <row r="49" spans="1:10" x14ac:dyDescent="0.3">
      <c r="A49">
        <f t="shared" si="2"/>
        <v>20</v>
      </c>
      <c r="B49" s="14" t="s">
        <v>179</v>
      </c>
      <c r="C49" s="14" t="s">
        <v>12</v>
      </c>
      <c r="D49" s="14" t="s">
        <v>152</v>
      </c>
      <c r="E49" s="26">
        <v>88.154269972451786</v>
      </c>
      <c r="F49" s="26">
        <v>48.66</v>
      </c>
      <c r="G49" s="59">
        <v>89.16</v>
      </c>
      <c r="H49" s="26">
        <v>0</v>
      </c>
      <c r="I49" s="26"/>
      <c r="J49" s="53">
        <f t="shared" si="3"/>
        <v>225.97426997245176</v>
      </c>
    </row>
    <row r="50" spans="1:10" x14ac:dyDescent="0.3">
      <c r="A50">
        <f t="shared" si="2"/>
        <v>21</v>
      </c>
      <c r="B50" s="14" t="s">
        <v>167</v>
      </c>
      <c r="C50" s="14" t="s">
        <v>2</v>
      </c>
      <c r="D50" s="14" t="s">
        <v>152</v>
      </c>
      <c r="E50" s="26">
        <v>91.735537190082638</v>
      </c>
      <c r="F50" s="26">
        <v>0</v>
      </c>
      <c r="G50" s="59">
        <v>58.94</v>
      </c>
      <c r="H50" s="26">
        <v>64.94</v>
      </c>
      <c r="I50" s="26"/>
      <c r="J50" s="53">
        <f t="shared" si="3"/>
        <v>215.61553719008265</v>
      </c>
    </row>
    <row r="51" spans="1:10" x14ac:dyDescent="0.3">
      <c r="A51">
        <f t="shared" si="2"/>
        <v>22</v>
      </c>
      <c r="B51" s="14" t="s">
        <v>156</v>
      </c>
      <c r="C51" s="14" t="s">
        <v>126</v>
      </c>
      <c r="D51" s="14" t="s">
        <v>152</v>
      </c>
      <c r="E51" s="26">
        <v>95.316804407713505</v>
      </c>
      <c r="F51" s="29">
        <v>99.26</v>
      </c>
      <c r="G51" s="59">
        <v>0</v>
      </c>
      <c r="H51" s="26">
        <v>0</v>
      </c>
      <c r="I51" s="26"/>
      <c r="J51" s="53">
        <f t="shared" si="3"/>
        <v>194.5768044077135</v>
      </c>
    </row>
    <row r="52" spans="1:10" x14ac:dyDescent="0.3">
      <c r="A52">
        <f t="shared" si="2"/>
        <v>23</v>
      </c>
      <c r="B52" s="14" t="s">
        <v>157</v>
      </c>
      <c r="C52" s="14" t="s">
        <v>111</v>
      </c>
      <c r="D52" s="14" t="s">
        <v>152</v>
      </c>
      <c r="E52" s="26">
        <v>95.133149678604212</v>
      </c>
      <c r="F52" s="28">
        <v>98.245614035087712</v>
      </c>
      <c r="G52" s="59">
        <v>0</v>
      </c>
      <c r="H52" s="26">
        <v>0</v>
      </c>
      <c r="I52" s="26"/>
      <c r="J52" s="53">
        <f t="shared" si="3"/>
        <v>193.37876371369191</v>
      </c>
    </row>
    <row r="53" spans="1:10" x14ac:dyDescent="0.3">
      <c r="A53">
        <f t="shared" si="2"/>
        <v>24</v>
      </c>
      <c r="B53" s="17" t="s">
        <v>709</v>
      </c>
      <c r="C53" s="17" t="s">
        <v>111</v>
      </c>
      <c r="D53" s="17" t="s">
        <v>152</v>
      </c>
      <c r="E53" s="26">
        <v>0</v>
      </c>
      <c r="F53" s="26">
        <v>0</v>
      </c>
      <c r="G53" s="28">
        <v>100</v>
      </c>
      <c r="H53" s="26">
        <v>93.37</v>
      </c>
      <c r="I53" s="26"/>
      <c r="J53" s="53">
        <f t="shared" si="3"/>
        <v>193.37</v>
      </c>
    </row>
    <row r="54" spans="1:10" x14ac:dyDescent="0.3">
      <c r="A54">
        <f t="shared" si="2"/>
        <v>25</v>
      </c>
      <c r="B54" s="17" t="s">
        <v>477</v>
      </c>
      <c r="C54" s="17" t="s">
        <v>59</v>
      </c>
      <c r="D54" s="17" t="s">
        <v>152</v>
      </c>
      <c r="E54" s="26">
        <v>0</v>
      </c>
      <c r="F54" s="26">
        <v>97.6</v>
      </c>
      <c r="G54" s="59">
        <v>95.74</v>
      </c>
      <c r="H54" s="26">
        <v>0</v>
      </c>
      <c r="I54" s="26"/>
      <c r="J54" s="53">
        <f t="shared" si="3"/>
        <v>193.33999999999997</v>
      </c>
    </row>
    <row r="55" spans="1:10" x14ac:dyDescent="0.3">
      <c r="A55">
        <f t="shared" si="2"/>
        <v>26</v>
      </c>
      <c r="B55" s="14" t="s">
        <v>182</v>
      </c>
      <c r="C55" s="14" t="s">
        <v>4</v>
      </c>
      <c r="D55" s="14" t="s">
        <v>152</v>
      </c>
      <c r="E55" s="26">
        <v>86.868686868686865</v>
      </c>
      <c r="F55" s="26">
        <v>92.059095106186504</v>
      </c>
      <c r="G55" s="59">
        <v>0</v>
      </c>
      <c r="H55" s="26">
        <v>0</v>
      </c>
      <c r="I55" s="26"/>
      <c r="J55" s="53">
        <f t="shared" si="3"/>
        <v>178.92778197487337</v>
      </c>
    </row>
    <row r="56" spans="1:10" x14ac:dyDescent="0.3">
      <c r="A56">
        <f t="shared" si="2"/>
        <v>27</v>
      </c>
      <c r="B56" s="14" t="s">
        <v>177</v>
      </c>
      <c r="C56" s="14" t="s">
        <v>12</v>
      </c>
      <c r="D56" s="14" t="s">
        <v>152</v>
      </c>
      <c r="E56" s="26">
        <v>90.358126721763085</v>
      </c>
      <c r="F56" s="26">
        <v>0</v>
      </c>
      <c r="G56" s="59">
        <v>0</v>
      </c>
      <c r="H56" s="26">
        <v>88.19</v>
      </c>
      <c r="I56" s="26"/>
      <c r="J56" s="53">
        <f t="shared" si="3"/>
        <v>178.54812672176308</v>
      </c>
    </row>
    <row r="57" spans="1:10" x14ac:dyDescent="0.3">
      <c r="A57">
        <f t="shared" si="2"/>
        <v>28</v>
      </c>
      <c r="B57" s="14" t="s">
        <v>188</v>
      </c>
      <c r="C57" s="14" t="s">
        <v>27</v>
      </c>
      <c r="D57" s="14" t="s">
        <v>152</v>
      </c>
      <c r="E57" s="26">
        <v>0</v>
      </c>
      <c r="F57" s="26">
        <v>75.161588180978768</v>
      </c>
      <c r="G57" s="59">
        <v>0</v>
      </c>
      <c r="H57" s="26">
        <v>91.62</v>
      </c>
      <c r="I57" s="26"/>
      <c r="J57" s="53">
        <f t="shared" si="3"/>
        <v>166.78158818097876</v>
      </c>
    </row>
    <row r="58" spans="1:10" x14ac:dyDescent="0.3">
      <c r="A58">
        <f t="shared" si="2"/>
        <v>29</v>
      </c>
      <c r="B58" s="14" t="s">
        <v>171</v>
      </c>
      <c r="C58" s="14" t="s">
        <v>35</v>
      </c>
      <c r="D58" s="14" t="s">
        <v>152</v>
      </c>
      <c r="E58" s="26">
        <v>91.184573002754817</v>
      </c>
      <c r="F58" s="26">
        <v>60.66</v>
      </c>
      <c r="G58" s="59">
        <v>0</v>
      </c>
      <c r="H58" s="26">
        <v>0</v>
      </c>
      <c r="I58" s="26"/>
      <c r="J58" s="53">
        <f t="shared" si="3"/>
        <v>151.84457300275483</v>
      </c>
    </row>
    <row r="59" spans="1:10" x14ac:dyDescent="0.3">
      <c r="A59">
        <f t="shared" si="2"/>
        <v>30</v>
      </c>
      <c r="B59" s="17" t="s">
        <v>480</v>
      </c>
      <c r="C59" s="17" t="s">
        <v>126</v>
      </c>
      <c r="D59" s="17" t="s">
        <v>152</v>
      </c>
      <c r="E59" s="26">
        <v>0</v>
      </c>
      <c r="F59" s="26">
        <v>86.7</v>
      </c>
      <c r="G59" s="59">
        <v>62.56</v>
      </c>
      <c r="H59" s="26">
        <v>0</v>
      </c>
      <c r="I59" s="26"/>
      <c r="J59" s="53">
        <f t="shared" si="3"/>
        <v>149.26</v>
      </c>
    </row>
    <row r="60" spans="1:10" x14ac:dyDescent="0.3">
      <c r="A60">
        <f t="shared" si="2"/>
        <v>31</v>
      </c>
      <c r="B60" s="14" t="s">
        <v>184</v>
      </c>
      <c r="C60" s="14" t="s">
        <v>3</v>
      </c>
      <c r="D60" s="14" t="s">
        <v>152</v>
      </c>
      <c r="E60" s="26">
        <v>45.638200183654725</v>
      </c>
      <c r="F60" s="26">
        <v>88.55</v>
      </c>
      <c r="G60" s="59">
        <v>4.26</v>
      </c>
      <c r="H60" s="26">
        <v>0</v>
      </c>
      <c r="I60" s="26"/>
      <c r="J60" s="53">
        <f t="shared" si="3"/>
        <v>138.44820018365471</v>
      </c>
    </row>
    <row r="61" spans="1:10" x14ac:dyDescent="0.3">
      <c r="A61">
        <f t="shared" si="2"/>
        <v>32</v>
      </c>
      <c r="B61" s="17" t="s">
        <v>135</v>
      </c>
      <c r="C61" s="17" t="s">
        <v>12</v>
      </c>
      <c r="D61" s="17" t="s">
        <v>152</v>
      </c>
      <c r="E61" s="26">
        <v>0</v>
      </c>
      <c r="F61" s="26">
        <v>0</v>
      </c>
      <c r="G61" s="59">
        <v>90.92</v>
      </c>
      <c r="H61" s="26">
        <v>46.75</v>
      </c>
      <c r="I61" s="26"/>
      <c r="J61" s="53">
        <f t="shared" si="3"/>
        <v>137.67000000000002</v>
      </c>
    </row>
    <row r="62" spans="1:10" x14ac:dyDescent="0.3">
      <c r="A62">
        <f t="shared" ref="A62:A96" si="4">RANK(J62,$J$30:$J$96)</f>
        <v>33</v>
      </c>
      <c r="B62" s="18" t="s">
        <v>151</v>
      </c>
      <c r="C62" s="18" t="s">
        <v>117</v>
      </c>
      <c r="D62" s="20" t="s">
        <v>152</v>
      </c>
      <c r="E62" s="28">
        <v>100</v>
      </c>
      <c r="F62" s="26">
        <v>0</v>
      </c>
      <c r="G62" s="59">
        <v>0</v>
      </c>
      <c r="H62" s="26">
        <v>0</v>
      </c>
      <c r="I62" s="26"/>
      <c r="J62" s="53">
        <f t="shared" ref="J62:J93" si="5">LARGE(E62:I62,1)+LARGE(E62:I62,2)+LARGE(E62:I62,3)</f>
        <v>100</v>
      </c>
    </row>
    <row r="63" spans="1:10" x14ac:dyDescent="0.3">
      <c r="A63">
        <f t="shared" si="4"/>
        <v>34</v>
      </c>
      <c r="B63" s="17" t="s">
        <v>482</v>
      </c>
      <c r="C63" s="17" t="s">
        <v>61</v>
      </c>
      <c r="D63" s="17" t="s">
        <v>152</v>
      </c>
      <c r="E63" s="26">
        <v>0</v>
      </c>
      <c r="F63" s="29">
        <v>98.71</v>
      </c>
      <c r="G63" s="59">
        <v>0</v>
      </c>
      <c r="H63" s="26">
        <v>0</v>
      </c>
      <c r="I63" s="26"/>
      <c r="J63" s="53">
        <f t="shared" si="5"/>
        <v>98.71</v>
      </c>
    </row>
    <row r="64" spans="1:10" x14ac:dyDescent="0.3">
      <c r="A64">
        <f t="shared" si="4"/>
        <v>35</v>
      </c>
      <c r="B64" s="43" t="s">
        <v>255</v>
      </c>
      <c r="C64" s="60" t="s">
        <v>35</v>
      </c>
      <c r="D64" s="14" t="s">
        <v>152</v>
      </c>
      <c r="E64" s="26">
        <v>0</v>
      </c>
      <c r="F64" s="26">
        <v>0</v>
      </c>
      <c r="G64" s="19">
        <v>98.609823911028727</v>
      </c>
      <c r="H64" s="26">
        <v>0</v>
      </c>
      <c r="J64" s="53">
        <f t="shared" si="5"/>
        <v>98.609823911028727</v>
      </c>
    </row>
    <row r="65" spans="1:10" x14ac:dyDescent="0.3">
      <c r="A65">
        <f t="shared" si="4"/>
        <v>36</v>
      </c>
      <c r="B65" s="14" t="s">
        <v>217</v>
      </c>
      <c r="C65" s="14" t="s">
        <v>4</v>
      </c>
      <c r="D65" s="14" t="s">
        <v>152</v>
      </c>
      <c r="E65" s="26">
        <v>0</v>
      </c>
      <c r="F65" s="26">
        <v>8.3102493074792232</v>
      </c>
      <c r="G65" s="59">
        <v>0</v>
      </c>
      <c r="H65" s="26">
        <v>89.87</v>
      </c>
      <c r="I65" s="26"/>
      <c r="J65" s="53">
        <f t="shared" si="5"/>
        <v>98.18024930747923</v>
      </c>
    </row>
    <row r="66" spans="1:10" x14ac:dyDescent="0.3">
      <c r="A66">
        <f t="shared" si="4"/>
        <v>37</v>
      </c>
      <c r="B66" s="52" t="s">
        <v>710</v>
      </c>
      <c r="C66" s="52" t="s">
        <v>495</v>
      </c>
      <c r="D66" s="23" t="s">
        <v>152</v>
      </c>
      <c r="E66" s="26">
        <v>0</v>
      </c>
      <c r="F66" s="26">
        <v>0</v>
      </c>
      <c r="G66" s="59">
        <v>0</v>
      </c>
      <c r="H66" s="26">
        <v>95.37</v>
      </c>
      <c r="I66" s="26"/>
      <c r="J66" s="53">
        <f t="shared" si="5"/>
        <v>95.37</v>
      </c>
    </row>
    <row r="67" spans="1:10" x14ac:dyDescent="0.3">
      <c r="A67">
        <f t="shared" si="4"/>
        <v>38</v>
      </c>
      <c r="B67" s="46" t="s">
        <v>207</v>
      </c>
      <c r="C67" s="46" t="s">
        <v>12</v>
      </c>
      <c r="D67" s="23" t="s">
        <v>152</v>
      </c>
      <c r="E67" s="26">
        <v>0</v>
      </c>
      <c r="F67" s="26">
        <v>0</v>
      </c>
      <c r="G67" s="59">
        <v>0</v>
      </c>
      <c r="H67" s="26">
        <v>94.873814077324027</v>
      </c>
      <c r="I67" s="26"/>
      <c r="J67" s="53">
        <f t="shared" si="5"/>
        <v>94.873814077324027</v>
      </c>
    </row>
    <row r="68" spans="1:10" x14ac:dyDescent="0.3">
      <c r="A68">
        <f t="shared" si="4"/>
        <v>39</v>
      </c>
      <c r="B68" s="23" t="s">
        <v>479</v>
      </c>
      <c r="C68" s="23" t="s">
        <v>4</v>
      </c>
      <c r="D68" s="23" t="s">
        <v>152</v>
      </c>
      <c r="E68" s="26">
        <v>0</v>
      </c>
      <c r="F68" s="26">
        <v>93.26</v>
      </c>
      <c r="G68" s="59">
        <v>0</v>
      </c>
      <c r="H68" s="26">
        <v>0</v>
      </c>
      <c r="I68" s="26"/>
      <c r="J68" s="53">
        <f t="shared" si="5"/>
        <v>93.26</v>
      </c>
    </row>
    <row r="69" spans="1:10" x14ac:dyDescent="0.3">
      <c r="A69">
        <f t="shared" si="4"/>
        <v>40</v>
      </c>
      <c r="B69" s="23" t="s">
        <v>475</v>
      </c>
      <c r="C69" s="23" t="s">
        <v>4</v>
      </c>
      <c r="D69" s="23" t="s">
        <v>152</v>
      </c>
      <c r="E69" s="26">
        <v>0</v>
      </c>
      <c r="F69" s="26">
        <v>92.89</v>
      </c>
      <c r="G69" s="59">
        <v>0</v>
      </c>
      <c r="H69" s="26">
        <v>0</v>
      </c>
      <c r="I69" s="26"/>
      <c r="J69" s="53">
        <f t="shared" si="5"/>
        <v>92.89</v>
      </c>
    </row>
    <row r="70" spans="1:10" x14ac:dyDescent="0.3">
      <c r="A70">
        <f t="shared" si="4"/>
        <v>41</v>
      </c>
      <c r="B70" s="32" t="s">
        <v>161</v>
      </c>
      <c r="C70" s="32" t="s">
        <v>27</v>
      </c>
      <c r="D70" s="32" t="s">
        <v>152</v>
      </c>
      <c r="E70" s="26">
        <v>92.837465564738281</v>
      </c>
      <c r="F70" s="26">
        <v>0</v>
      </c>
      <c r="G70" s="59">
        <v>0</v>
      </c>
      <c r="H70" s="26">
        <v>0</v>
      </c>
      <c r="I70" s="26"/>
      <c r="J70" s="53">
        <f t="shared" si="5"/>
        <v>92.837465564738281</v>
      </c>
    </row>
    <row r="71" spans="1:10" x14ac:dyDescent="0.3">
      <c r="A71">
        <f t="shared" si="4"/>
        <v>42</v>
      </c>
      <c r="B71" s="32" t="s">
        <v>162</v>
      </c>
      <c r="C71" s="32" t="s">
        <v>27</v>
      </c>
      <c r="D71" s="32" t="s">
        <v>152</v>
      </c>
      <c r="E71" s="26">
        <v>92.745638200183649</v>
      </c>
      <c r="F71" s="26">
        <v>0</v>
      </c>
      <c r="G71" s="59">
        <v>0</v>
      </c>
      <c r="H71" s="26">
        <v>0</v>
      </c>
      <c r="I71" s="26"/>
      <c r="J71" s="53">
        <f t="shared" si="5"/>
        <v>92.745638200183649</v>
      </c>
    </row>
    <row r="72" spans="1:10" x14ac:dyDescent="0.3">
      <c r="A72">
        <f t="shared" si="4"/>
        <v>43</v>
      </c>
      <c r="B72" s="32" t="s">
        <v>485</v>
      </c>
      <c r="C72" s="32" t="s">
        <v>35</v>
      </c>
      <c r="D72" s="32" t="s">
        <v>152</v>
      </c>
      <c r="E72" s="26">
        <v>0</v>
      </c>
      <c r="F72" s="26">
        <v>0</v>
      </c>
      <c r="G72" s="59">
        <v>92.22</v>
      </c>
      <c r="H72" s="26">
        <v>0</v>
      </c>
      <c r="I72" s="26"/>
      <c r="J72" s="53">
        <f t="shared" si="5"/>
        <v>92.22</v>
      </c>
    </row>
    <row r="73" spans="1:10" x14ac:dyDescent="0.3">
      <c r="A73">
        <f t="shared" si="4"/>
        <v>44</v>
      </c>
      <c r="B73" s="32" t="s">
        <v>185</v>
      </c>
      <c r="C73" s="32" t="s">
        <v>5</v>
      </c>
      <c r="D73" s="32" t="s">
        <v>152</v>
      </c>
      <c r="E73" s="26">
        <v>37.649219467401281</v>
      </c>
      <c r="F73" s="26">
        <v>52.63</v>
      </c>
      <c r="G73" s="59">
        <v>0</v>
      </c>
      <c r="H73" s="26">
        <v>0</v>
      </c>
      <c r="I73" s="26"/>
      <c r="J73" s="53">
        <f t="shared" si="5"/>
        <v>90.279219467401276</v>
      </c>
    </row>
    <row r="74" spans="1:10" x14ac:dyDescent="0.3">
      <c r="A74">
        <f t="shared" si="4"/>
        <v>45</v>
      </c>
      <c r="B74" s="52" t="s">
        <v>212</v>
      </c>
      <c r="C74" s="52" t="s">
        <v>4</v>
      </c>
      <c r="D74" s="23" t="s">
        <v>152</v>
      </c>
      <c r="E74" s="26">
        <v>0</v>
      </c>
      <c r="F74" s="26">
        <v>0</v>
      </c>
      <c r="G74" s="59">
        <v>0</v>
      </c>
      <c r="H74" s="26">
        <v>90.06</v>
      </c>
      <c r="I74" s="26"/>
      <c r="J74" s="53">
        <f t="shared" si="5"/>
        <v>90.06</v>
      </c>
    </row>
    <row r="75" spans="1:10" x14ac:dyDescent="0.3">
      <c r="A75">
        <f t="shared" si="4"/>
        <v>46</v>
      </c>
      <c r="B75" s="14" t="s">
        <v>174</v>
      </c>
      <c r="C75" s="14" t="s">
        <v>1</v>
      </c>
      <c r="D75" s="14" t="s">
        <v>152</v>
      </c>
      <c r="E75" s="26">
        <v>89.898989898989896</v>
      </c>
      <c r="F75" s="26">
        <v>0</v>
      </c>
      <c r="G75" s="59">
        <v>0</v>
      </c>
      <c r="H75" s="26">
        <v>0</v>
      </c>
      <c r="I75" s="26"/>
      <c r="J75" s="53">
        <f t="shared" si="5"/>
        <v>89.898989898989896</v>
      </c>
    </row>
    <row r="76" spans="1:10" x14ac:dyDescent="0.3">
      <c r="A76">
        <f t="shared" si="4"/>
        <v>47</v>
      </c>
      <c r="B76" s="42" t="s">
        <v>221</v>
      </c>
      <c r="C76" s="42" t="s">
        <v>12</v>
      </c>
      <c r="D76" s="17" t="s">
        <v>152</v>
      </c>
      <c r="E76" s="26">
        <v>0</v>
      </c>
      <c r="F76" s="26">
        <v>0</v>
      </c>
      <c r="G76" s="26">
        <v>0</v>
      </c>
      <c r="H76" s="26">
        <v>89.747628154648069</v>
      </c>
      <c r="I76" s="26"/>
      <c r="J76" s="53">
        <f t="shared" si="5"/>
        <v>89.747628154648069</v>
      </c>
    </row>
    <row r="77" spans="1:10" x14ac:dyDescent="0.3">
      <c r="A77">
        <f t="shared" si="4"/>
        <v>48</v>
      </c>
      <c r="B77" s="42" t="s">
        <v>224</v>
      </c>
      <c r="C77" s="42" t="s">
        <v>4</v>
      </c>
      <c r="D77" s="17" t="s">
        <v>152</v>
      </c>
      <c r="E77" s="26">
        <v>0</v>
      </c>
      <c r="F77" s="26">
        <v>0</v>
      </c>
      <c r="G77" s="26">
        <v>0</v>
      </c>
      <c r="H77" s="26">
        <v>88.810139873251586</v>
      </c>
      <c r="I77" s="26"/>
      <c r="J77" s="53">
        <f t="shared" si="5"/>
        <v>88.810139873251586</v>
      </c>
    </row>
    <row r="78" spans="1:10" x14ac:dyDescent="0.3">
      <c r="A78">
        <f t="shared" si="4"/>
        <v>49</v>
      </c>
      <c r="B78" s="14" t="s">
        <v>181</v>
      </c>
      <c r="C78" s="14" t="s">
        <v>27</v>
      </c>
      <c r="D78" s="14" t="s">
        <v>152</v>
      </c>
      <c r="E78" s="26">
        <v>87.327823691460054</v>
      </c>
      <c r="F78" s="26">
        <v>0</v>
      </c>
      <c r="G78" s="59">
        <v>0</v>
      </c>
      <c r="H78" s="26">
        <v>0</v>
      </c>
      <c r="I78" s="26"/>
      <c r="J78" s="53">
        <f t="shared" si="5"/>
        <v>87.327823691460054</v>
      </c>
    </row>
    <row r="79" spans="1:10" x14ac:dyDescent="0.3">
      <c r="A79">
        <f t="shared" si="4"/>
        <v>50</v>
      </c>
      <c r="B79" s="45" t="s">
        <v>129</v>
      </c>
      <c r="C79" s="45" t="s">
        <v>46</v>
      </c>
      <c r="D79" s="17" t="s">
        <v>152</v>
      </c>
      <c r="E79" s="26">
        <v>0</v>
      </c>
      <c r="F79" s="26">
        <v>0</v>
      </c>
      <c r="G79" s="59">
        <v>87.21</v>
      </c>
      <c r="H79" s="26">
        <v>0</v>
      </c>
      <c r="I79" s="26"/>
      <c r="J79" s="53">
        <f t="shared" si="5"/>
        <v>87.21</v>
      </c>
    </row>
    <row r="80" spans="1:10" x14ac:dyDescent="0.3">
      <c r="A80">
        <f t="shared" si="4"/>
        <v>51</v>
      </c>
      <c r="B80" s="52" t="s">
        <v>494</v>
      </c>
      <c r="C80" s="52" t="s">
        <v>495</v>
      </c>
      <c r="D80" s="23" t="s">
        <v>152</v>
      </c>
      <c r="E80" s="26">
        <v>0</v>
      </c>
      <c r="F80" s="26">
        <v>0</v>
      </c>
      <c r="G80" s="59">
        <v>0</v>
      </c>
      <c r="H80" s="26">
        <v>85.75</v>
      </c>
      <c r="I80" s="26"/>
      <c r="J80" s="53">
        <f t="shared" si="5"/>
        <v>85.75</v>
      </c>
    </row>
    <row r="81" spans="1:10" x14ac:dyDescent="0.3">
      <c r="A81">
        <f t="shared" si="4"/>
        <v>52</v>
      </c>
      <c r="B81" s="23" t="s">
        <v>481</v>
      </c>
      <c r="C81" s="23" t="s">
        <v>19</v>
      </c>
      <c r="D81" s="23" t="s">
        <v>152</v>
      </c>
      <c r="E81" s="26">
        <v>0</v>
      </c>
      <c r="F81" s="26">
        <v>70.27</v>
      </c>
      <c r="G81" s="59">
        <v>0</v>
      </c>
      <c r="H81" s="26">
        <v>0</v>
      </c>
      <c r="I81" s="26"/>
      <c r="J81" s="53">
        <f t="shared" si="5"/>
        <v>70.27</v>
      </c>
    </row>
    <row r="82" spans="1:10" x14ac:dyDescent="0.3">
      <c r="A82">
        <f t="shared" si="4"/>
        <v>53</v>
      </c>
      <c r="B82" s="32" t="s">
        <v>183</v>
      </c>
      <c r="C82" s="32" t="s">
        <v>1</v>
      </c>
      <c r="D82" s="32" t="s">
        <v>152</v>
      </c>
      <c r="E82" s="26">
        <v>60.697887970615234</v>
      </c>
      <c r="F82" s="26">
        <v>0</v>
      </c>
      <c r="G82" s="59">
        <v>0</v>
      </c>
      <c r="H82" s="26">
        <v>0</v>
      </c>
      <c r="I82" s="26"/>
      <c r="J82" s="53">
        <f t="shared" si="5"/>
        <v>60.697887970615234</v>
      </c>
    </row>
    <row r="83" spans="1:10" x14ac:dyDescent="0.3">
      <c r="A83">
        <f t="shared" si="4"/>
        <v>54</v>
      </c>
      <c r="B83" s="42" t="s">
        <v>712</v>
      </c>
      <c r="C83" s="42" t="s">
        <v>117</v>
      </c>
      <c r="D83" s="23" t="s">
        <v>152</v>
      </c>
      <c r="E83" s="26">
        <v>0</v>
      </c>
      <c r="F83" s="26">
        <v>0</v>
      </c>
      <c r="G83" s="59">
        <v>0</v>
      </c>
      <c r="H83" s="26">
        <v>60.374245321933479</v>
      </c>
      <c r="I83" s="26"/>
      <c r="J83" s="53">
        <f t="shared" si="5"/>
        <v>60.374245321933479</v>
      </c>
    </row>
    <row r="84" spans="1:10" x14ac:dyDescent="0.3">
      <c r="A84">
        <f t="shared" si="4"/>
        <v>55</v>
      </c>
      <c r="B84" s="17" t="s">
        <v>153</v>
      </c>
      <c r="C84" s="17" t="s">
        <v>27</v>
      </c>
      <c r="D84" s="32" t="s">
        <v>152</v>
      </c>
      <c r="E84" s="26">
        <v>0</v>
      </c>
      <c r="F84" s="26">
        <v>0</v>
      </c>
      <c r="G84" s="59">
        <v>0</v>
      </c>
      <c r="H84" s="26">
        <v>0</v>
      </c>
      <c r="I84" s="26"/>
      <c r="J84" s="53">
        <f t="shared" si="5"/>
        <v>0</v>
      </c>
    </row>
    <row r="85" spans="1:10" x14ac:dyDescent="0.3">
      <c r="A85">
        <f t="shared" si="4"/>
        <v>55</v>
      </c>
      <c r="B85" s="23" t="s">
        <v>708</v>
      </c>
      <c r="C85" s="23" t="s">
        <v>111</v>
      </c>
      <c r="D85" s="23" t="s">
        <v>152</v>
      </c>
      <c r="E85" s="26">
        <v>0</v>
      </c>
      <c r="F85" s="26">
        <v>0</v>
      </c>
      <c r="G85" s="59">
        <v>0</v>
      </c>
      <c r="H85" s="26">
        <v>0</v>
      </c>
      <c r="I85" s="26"/>
      <c r="J85" s="53">
        <f t="shared" si="5"/>
        <v>0</v>
      </c>
    </row>
    <row r="86" spans="1:10" x14ac:dyDescent="0.3">
      <c r="A86">
        <f t="shared" si="4"/>
        <v>55</v>
      </c>
      <c r="B86" s="23" t="s">
        <v>476</v>
      </c>
      <c r="C86" s="23" t="s">
        <v>141</v>
      </c>
      <c r="D86" s="23" t="s">
        <v>152</v>
      </c>
      <c r="E86" s="26">
        <v>0</v>
      </c>
      <c r="F86" s="26">
        <v>0</v>
      </c>
      <c r="G86" s="59">
        <v>0</v>
      </c>
      <c r="H86" s="26">
        <v>0</v>
      </c>
      <c r="I86" s="26"/>
      <c r="J86" s="53">
        <f t="shared" si="5"/>
        <v>0</v>
      </c>
    </row>
    <row r="87" spans="1:10" x14ac:dyDescent="0.3">
      <c r="A87">
        <f t="shared" si="4"/>
        <v>55</v>
      </c>
      <c r="B87" s="32" t="s">
        <v>173</v>
      </c>
      <c r="C87" s="32" t="s">
        <v>2</v>
      </c>
      <c r="D87" s="32" t="s">
        <v>152</v>
      </c>
      <c r="E87" s="26">
        <v>0</v>
      </c>
      <c r="F87" s="26">
        <v>0</v>
      </c>
      <c r="G87" s="59">
        <v>0</v>
      </c>
      <c r="H87" s="26">
        <v>0</v>
      </c>
      <c r="I87" s="26"/>
      <c r="J87" s="53">
        <f t="shared" si="5"/>
        <v>0</v>
      </c>
    </row>
    <row r="88" spans="1:10" x14ac:dyDescent="0.3">
      <c r="A88">
        <f t="shared" si="4"/>
        <v>55</v>
      </c>
      <c r="B88" s="32" t="s">
        <v>187</v>
      </c>
      <c r="C88" s="32" t="s">
        <v>12</v>
      </c>
      <c r="D88" s="32" t="s">
        <v>152</v>
      </c>
      <c r="E88" s="26">
        <v>0</v>
      </c>
      <c r="F88" s="26">
        <v>0</v>
      </c>
      <c r="G88" s="59">
        <v>0</v>
      </c>
      <c r="H88" s="26">
        <v>0</v>
      </c>
      <c r="I88" s="26"/>
      <c r="J88" s="53">
        <f t="shared" si="5"/>
        <v>0</v>
      </c>
    </row>
    <row r="89" spans="1:10" x14ac:dyDescent="0.3">
      <c r="A89">
        <f t="shared" si="4"/>
        <v>55</v>
      </c>
      <c r="B89" s="45" t="s">
        <v>711</v>
      </c>
      <c r="C89" s="45" t="s">
        <v>3</v>
      </c>
      <c r="D89" s="23" t="s">
        <v>152</v>
      </c>
      <c r="E89" s="26">
        <v>0</v>
      </c>
      <c r="F89" s="26">
        <v>0</v>
      </c>
      <c r="G89" s="59">
        <v>0</v>
      </c>
      <c r="H89" s="26">
        <v>0</v>
      </c>
      <c r="I89" s="26"/>
      <c r="J89" s="53">
        <f t="shared" si="5"/>
        <v>0</v>
      </c>
    </row>
    <row r="90" spans="1:10" x14ac:dyDescent="0.3">
      <c r="A90">
        <f t="shared" si="4"/>
        <v>55</v>
      </c>
      <c r="B90" s="14" t="s">
        <v>186</v>
      </c>
      <c r="C90" s="14" t="s">
        <v>1</v>
      </c>
      <c r="D90" s="32" t="s">
        <v>152</v>
      </c>
      <c r="E90" s="26">
        <v>0</v>
      </c>
      <c r="F90" s="26">
        <v>0</v>
      </c>
      <c r="G90" s="59">
        <v>0</v>
      </c>
      <c r="H90" s="26">
        <v>0</v>
      </c>
      <c r="I90" s="26"/>
      <c r="J90" s="53">
        <f t="shared" si="5"/>
        <v>0</v>
      </c>
    </row>
    <row r="91" spans="1:10" x14ac:dyDescent="0.3">
      <c r="A91">
        <f t="shared" si="4"/>
        <v>55</v>
      </c>
      <c r="B91" s="32" t="s">
        <v>483</v>
      </c>
      <c r="C91" s="32" t="s">
        <v>484</v>
      </c>
      <c r="D91" s="32" t="s">
        <v>152</v>
      </c>
      <c r="E91" s="26">
        <v>0</v>
      </c>
      <c r="F91" s="26">
        <v>0</v>
      </c>
      <c r="G91" s="59">
        <v>0</v>
      </c>
      <c r="H91" s="26">
        <v>0</v>
      </c>
      <c r="I91" s="26"/>
      <c r="J91" s="53">
        <f t="shared" si="5"/>
        <v>0</v>
      </c>
    </row>
    <row r="92" spans="1:10" x14ac:dyDescent="0.3">
      <c r="A92">
        <f t="shared" si="4"/>
        <v>55</v>
      </c>
      <c r="B92" s="14" t="s">
        <v>486</v>
      </c>
      <c r="C92" s="14" t="s">
        <v>484</v>
      </c>
      <c r="D92" s="32" t="s">
        <v>152</v>
      </c>
      <c r="E92" s="26">
        <v>0</v>
      </c>
      <c r="F92" s="26">
        <v>0</v>
      </c>
      <c r="G92" s="59">
        <v>0</v>
      </c>
      <c r="H92" s="26">
        <v>0</v>
      </c>
      <c r="I92" s="26"/>
      <c r="J92" s="53">
        <f t="shared" si="5"/>
        <v>0</v>
      </c>
    </row>
    <row r="93" spans="1:10" x14ac:dyDescent="0.3">
      <c r="A93">
        <f t="shared" si="4"/>
        <v>55</v>
      </c>
      <c r="B93" s="43" t="s">
        <v>469</v>
      </c>
      <c r="C93" s="42" t="s">
        <v>35</v>
      </c>
      <c r="D93" s="32" t="s">
        <v>152</v>
      </c>
      <c r="E93" s="26">
        <v>0</v>
      </c>
      <c r="F93" s="26">
        <v>0</v>
      </c>
      <c r="G93" s="15">
        <v>0</v>
      </c>
      <c r="H93" s="26">
        <v>0</v>
      </c>
      <c r="J93" s="53">
        <f t="shared" si="5"/>
        <v>0</v>
      </c>
    </row>
    <row r="94" spans="1:10" x14ac:dyDescent="0.3">
      <c r="A94">
        <f t="shared" si="4"/>
        <v>55</v>
      </c>
      <c r="B94" s="43" t="s">
        <v>308</v>
      </c>
      <c r="C94" s="42" t="s">
        <v>59</v>
      </c>
      <c r="D94" s="32" t="s">
        <v>152</v>
      </c>
      <c r="E94" s="26">
        <v>0</v>
      </c>
      <c r="F94" s="26">
        <v>0</v>
      </c>
      <c r="G94" s="15">
        <v>0</v>
      </c>
      <c r="H94" s="26">
        <v>0</v>
      </c>
      <c r="J94" s="53">
        <f t="shared" ref="J94:J125" si="6">LARGE(E94:I94,1)+LARGE(E94:I94,2)+LARGE(E94:I94,3)</f>
        <v>0</v>
      </c>
    </row>
    <row r="95" spans="1:10" x14ac:dyDescent="0.3">
      <c r="A95">
        <f t="shared" si="4"/>
        <v>55</v>
      </c>
      <c r="B95" s="43" t="s">
        <v>823</v>
      </c>
      <c r="C95" s="42" t="s">
        <v>19</v>
      </c>
      <c r="D95" s="32" t="s">
        <v>152</v>
      </c>
      <c r="E95" s="26">
        <v>0</v>
      </c>
      <c r="F95" s="26">
        <v>0</v>
      </c>
      <c r="G95" s="15">
        <v>0</v>
      </c>
      <c r="H95" s="26">
        <v>0</v>
      </c>
      <c r="J95" s="53">
        <f t="shared" si="6"/>
        <v>0</v>
      </c>
    </row>
    <row r="96" spans="1:10" x14ac:dyDescent="0.3">
      <c r="A96">
        <f t="shared" si="4"/>
        <v>55</v>
      </c>
      <c r="B96" s="43" t="s">
        <v>824</v>
      </c>
      <c r="C96" s="42" t="s">
        <v>727</v>
      </c>
      <c r="D96" s="32" t="s">
        <v>152</v>
      </c>
      <c r="E96" s="26">
        <v>0</v>
      </c>
      <c r="F96" s="26">
        <v>0</v>
      </c>
      <c r="G96" s="15">
        <v>0</v>
      </c>
      <c r="H96" s="26">
        <v>0</v>
      </c>
      <c r="J96" s="53">
        <f t="shared" si="6"/>
        <v>0</v>
      </c>
    </row>
  </sheetData>
  <sortState xmlns:xlrd2="http://schemas.microsoft.com/office/spreadsheetml/2017/richdata2" ref="A30:J96">
    <sortCondition ref="A30:A96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8E67-20E0-431F-BCA8-83A802750481}">
  <sheetPr codeName="Sheet6"/>
  <dimension ref="A1:J67"/>
  <sheetViews>
    <sheetView zoomScale="66" workbookViewId="0">
      <selection activeCell="B23" sqref="B23:C25"/>
    </sheetView>
  </sheetViews>
  <sheetFormatPr defaultRowHeight="14.4" x14ac:dyDescent="0.3"/>
  <cols>
    <col min="2" max="2" width="16.44140625" bestFit="1" customWidth="1"/>
    <col min="3" max="3" width="14.5546875" bestFit="1" customWidth="1"/>
    <col min="4" max="4" width="13.44140625" bestFit="1" customWidth="1"/>
    <col min="7" max="7" width="10.109375" bestFit="1" customWidth="1"/>
    <col min="8" max="8" width="11.33203125" bestFit="1" customWidth="1"/>
    <col min="9" max="9" width="12.5546875" bestFit="1" customWidth="1"/>
  </cols>
  <sheetData>
    <row r="1" spans="1:10" x14ac:dyDescent="0.3">
      <c r="A1" s="1"/>
      <c r="B1" s="1"/>
      <c r="C1" s="1"/>
      <c r="D1" s="2"/>
      <c r="E1" s="10" t="s">
        <v>1</v>
      </c>
      <c r="F1" s="10" t="s">
        <v>4</v>
      </c>
      <c r="G1" s="10" t="s">
        <v>2</v>
      </c>
      <c r="H1" s="11" t="s">
        <v>12</v>
      </c>
      <c r="I1" s="10" t="s">
        <v>3</v>
      </c>
      <c r="J1" s="9" t="s">
        <v>6</v>
      </c>
    </row>
    <row r="2" spans="1:10" x14ac:dyDescent="0.3">
      <c r="A2" s="3" t="s">
        <v>379</v>
      </c>
      <c r="B2" s="3" t="s">
        <v>7</v>
      </c>
      <c r="C2" s="4" t="s">
        <v>8</v>
      </c>
      <c r="D2" s="4" t="s">
        <v>0</v>
      </c>
      <c r="E2" s="5" t="s">
        <v>9</v>
      </c>
      <c r="F2" s="6" t="s">
        <v>9</v>
      </c>
      <c r="G2" s="7" t="s">
        <v>9</v>
      </c>
      <c r="H2" s="7" t="s">
        <v>9</v>
      </c>
      <c r="I2" s="8" t="s">
        <v>9</v>
      </c>
      <c r="J2" s="8" t="s">
        <v>9</v>
      </c>
    </row>
    <row r="3" spans="1:10" x14ac:dyDescent="0.3">
      <c r="A3">
        <f t="shared" ref="A3:A16" si="0">RANK(J3,$J$3:$J$16)</f>
        <v>1</v>
      </c>
      <c r="B3" s="17" t="s">
        <v>100</v>
      </c>
      <c r="C3" s="17" t="s">
        <v>5</v>
      </c>
      <c r="D3" s="14" t="s">
        <v>101</v>
      </c>
      <c r="E3" s="15">
        <v>100</v>
      </c>
      <c r="F3" s="15">
        <v>100</v>
      </c>
      <c r="G3" s="15">
        <v>95.33</v>
      </c>
      <c r="H3" s="30">
        <v>100</v>
      </c>
      <c r="I3" s="15"/>
      <c r="J3" s="15">
        <f t="shared" ref="J3:J16" si="1">LARGE(E3:I3,1)+LARGE(E3:I3,2)+LARGE(E3:I3,3)</f>
        <v>300</v>
      </c>
    </row>
    <row r="4" spans="1:10" x14ac:dyDescent="0.3">
      <c r="A4">
        <f t="shared" si="0"/>
        <v>2</v>
      </c>
      <c r="B4" s="14" t="s">
        <v>104</v>
      </c>
      <c r="C4" s="14" t="s">
        <v>1</v>
      </c>
      <c r="D4" s="14" t="s">
        <v>101</v>
      </c>
      <c r="E4" s="15">
        <v>54.699248120300751</v>
      </c>
      <c r="F4" s="15">
        <v>66.25</v>
      </c>
      <c r="G4" s="15">
        <v>0</v>
      </c>
      <c r="H4" s="15">
        <v>93.64</v>
      </c>
      <c r="I4" s="15"/>
      <c r="J4" s="15">
        <f t="shared" si="1"/>
        <v>214.58924812030074</v>
      </c>
    </row>
    <row r="5" spans="1:10" x14ac:dyDescent="0.3">
      <c r="A5">
        <f t="shared" si="0"/>
        <v>3</v>
      </c>
      <c r="B5" s="17" t="s">
        <v>466</v>
      </c>
      <c r="C5" s="17" t="s">
        <v>3</v>
      </c>
      <c r="D5" s="17" t="s">
        <v>101</v>
      </c>
      <c r="E5" s="15">
        <v>0</v>
      </c>
      <c r="F5" s="15">
        <v>93.58</v>
      </c>
      <c r="G5" s="15">
        <v>69.900000000000006</v>
      </c>
      <c r="H5" s="15">
        <v>42.65</v>
      </c>
      <c r="I5" s="15"/>
      <c r="J5" s="15">
        <f t="shared" si="1"/>
        <v>206.13000000000002</v>
      </c>
    </row>
    <row r="6" spans="1:10" x14ac:dyDescent="0.3">
      <c r="A6">
        <f t="shared" si="0"/>
        <v>4</v>
      </c>
      <c r="B6" s="43" t="s">
        <v>625</v>
      </c>
      <c r="C6" s="43" t="s">
        <v>160</v>
      </c>
      <c r="D6" s="43" t="s">
        <v>101</v>
      </c>
      <c r="E6" s="15">
        <v>0</v>
      </c>
      <c r="F6" s="15">
        <v>0</v>
      </c>
      <c r="G6" s="30">
        <v>100</v>
      </c>
      <c r="H6" s="15">
        <v>79.14</v>
      </c>
      <c r="I6" s="15"/>
      <c r="J6" s="15">
        <f t="shared" si="1"/>
        <v>179.14</v>
      </c>
    </row>
    <row r="7" spans="1:10" x14ac:dyDescent="0.3">
      <c r="A7">
        <f t="shared" si="0"/>
        <v>5</v>
      </c>
      <c r="B7" s="42" t="s">
        <v>143</v>
      </c>
      <c r="C7" s="42" t="s">
        <v>3</v>
      </c>
      <c r="D7" s="42" t="s">
        <v>101</v>
      </c>
      <c r="E7" s="15">
        <v>0</v>
      </c>
      <c r="F7" s="15">
        <v>0</v>
      </c>
      <c r="G7" s="15">
        <v>82.57</v>
      </c>
      <c r="H7" s="15">
        <v>85.37</v>
      </c>
      <c r="I7" s="15"/>
      <c r="J7" s="15">
        <f t="shared" si="1"/>
        <v>167.94</v>
      </c>
    </row>
    <row r="8" spans="1:10" x14ac:dyDescent="0.3">
      <c r="A8">
        <f t="shared" si="0"/>
        <v>6</v>
      </c>
      <c r="B8" s="17" t="s">
        <v>102</v>
      </c>
      <c r="C8" s="17" t="s">
        <v>61</v>
      </c>
      <c r="D8" s="14" t="s">
        <v>101</v>
      </c>
      <c r="E8" s="15">
        <v>96.9924812030075</v>
      </c>
      <c r="F8" s="15">
        <v>0</v>
      </c>
      <c r="G8" s="15">
        <v>0</v>
      </c>
      <c r="H8" s="15">
        <v>0</v>
      </c>
      <c r="I8" s="15"/>
      <c r="J8" s="15">
        <f t="shared" si="1"/>
        <v>96.9924812030075</v>
      </c>
    </row>
    <row r="9" spans="1:10" x14ac:dyDescent="0.3">
      <c r="A9">
        <f t="shared" si="0"/>
        <v>7</v>
      </c>
      <c r="B9" s="45" t="s">
        <v>626</v>
      </c>
      <c r="C9" s="45" t="s">
        <v>2</v>
      </c>
      <c r="D9" s="42" t="s">
        <v>101</v>
      </c>
      <c r="E9" s="15">
        <v>0</v>
      </c>
      <c r="F9" s="15">
        <v>0</v>
      </c>
      <c r="G9" s="15">
        <v>96.32</v>
      </c>
      <c r="H9" s="15">
        <v>0</v>
      </c>
      <c r="I9" s="15"/>
      <c r="J9" s="15">
        <f t="shared" si="1"/>
        <v>96.32</v>
      </c>
    </row>
    <row r="10" spans="1:10" x14ac:dyDescent="0.3">
      <c r="A10">
        <f t="shared" si="0"/>
        <v>8</v>
      </c>
      <c r="B10" s="17" t="s">
        <v>103</v>
      </c>
      <c r="C10" s="17" t="s">
        <v>19</v>
      </c>
      <c r="D10" s="14" t="s">
        <v>101</v>
      </c>
      <c r="E10" s="15">
        <v>91.541353383458642</v>
      </c>
      <c r="F10" s="15">
        <v>0</v>
      </c>
      <c r="G10" s="15">
        <v>0</v>
      </c>
      <c r="H10" s="15">
        <v>0</v>
      </c>
      <c r="I10" s="15"/>
      <c r="J10" s="15">
        <f t="shared" si="1"/>
        <v>91.541353383458642</v>
      </c>
    </row>
    <row r="11" spans="1:10" x14ac:dyDescent="0.3">
      <c r="A11">
        <f t="shared" si="0"/>
        <v>9</v>
      </c>
      <c r="B11" s="42" t="s">
        <v>198</v>
      </c>
      <c r="C11" s="42" t="s">
        <v>2</v>
      </c>
      <c r="D11" s="42" t="s">
        <v>101</v>
      </c>
      <c r="E11" s="15">
        <v>0</v>
      </c>
      <c r="F11" s="15">
        <v>0</v>
      </c>
      <c r="G11" s="15">
        <v>72.58</v>
      </c>
      <c r="H11" s="15">
        <v>0</v>
      </c>
      <c r="I11" s="15"/>
      <c r="J11" s="15">
        <f t="shared" si="1"/>
        <v>72.58</v>
      </c>
    </row>
    <row r="12" spans="1:10" x14ac:dyDescent="0.3">
      <c r="A12">
        <f t="shared" si="0"/>
        <v>10</v>
      </c>
      <c r="B12" s="42" t="s">
        <v>473</v>
      </c>
      <c r="C12" s="42" t="s">
        <v>3</v>
      </c>
      <c r="D12" s="42" t="s">
        <v>101</v>
      </c>
      <c r="E12" s="44">
        <v>0</v>
      </c>
      <c r="F12" s="15">
        <v>0</v>
      </c>
      <c r="G12" s="15">
        <v>64.69</v>
      </c>
      <c r="H12" s="15">
        <v>0</v>
      </c>
      <c r="I12" s="15"/>
      <c r="J12" s="15">
        <f t="shared" si="1"/>
        <v>64.69</v>
      </c>
    </row>
    <row r="13" spans="1:10" x14ac:dyDescent="0.3">
      <c r="A13">
        <f t="shared" si="0"/>
        <v>11</v>
      </c>
      <c r="B13" s="42" t="s">
        <v>146</v>
      </c>
      <c r="C13" s="42" t="s">
        <v>2</v>
      </c>
      <c r="D13" s="42" t="s">
        <v>101</v>
      </c>
      <c r="E13" s="15">
        <v>0</v>
      </c>
      <c r="F13" s="15">
        <v>0</v>
      </c>
      <c r="G13" s="15">
        <v>49.96</v>
      </c>
      <c r="H13" s="15">
        <v>0</v>
      </c>
      <c r="I13" s="15"/>
      <c r="J13" s="15">
        <f t="shared" si="1"/>
        <v>49.96</v>
      </c>
    </row>
    <row r="14" spans="1:10" x14ac:dyDescent="0.3">
      <c r="A14">
        <f t="shared" si="0"/>
        <v>12</v>
      </c>
      <c r="B14" s="42" t="s">
        <v>137</v>
      </c>
      <c r="C14" s="42" t="s">
        <v>14</v>
      </c>
      <c r="D14" s="42" t="s">
        <v>101</v>
      </c>
      <c r="E14" s="15">
        <v>0</v>
      </c>
      <c r="F14" s="15">
        <v>0</v>
      </c>
      <c r="G14" s="15">
        <v>0</v>
      </c>
      <c r="H14" s="15">
        <v>0</v>
      </c>
      <c r="I14" s="15"/>
      <c r="J14" s="15">
        <f t="shared" si="1"/>
        <v>0</v>
      </c>
    </row>
    <row r="15" spans="1:10" x14ac:dyDescent="0.3">
      <c r="A15">
        <f t="shared" si="0"/>
        <v>12</v>
      </c>
      <c r="B15" s="42" t="s">
        <v>627</v>
      </c>
      <c r="C15" s="42" t="s">
        <v>126</v>
      </c>
      <c r="D15" s="42" t="s">
        <v>101</v>
      </c>
      <c r="E15" s="15">
        <v>0</v>
      </c>
      <c r="F15" s="15">
        <v>0</v>
      </c>
      <c r="G15" s="15">
        <v>0</v>
      </c>
      <c r="H15" s="15">
        <v>0</v>
      </c>
      <c r="I15" s="15"/>
      <c r="J15" s="15">
        <f t="shared" si="1"/>
        <v>0</v>
      </c>
    </row>
    <row r="16" spans="1:10" x14ac:dyDescent="0.3">
      <c r="A16">
        <f t="shared" si="0"/>
        <v>12</v>
      </c>
      <c r="B16" s="14" t="s">
        <v>105</v>
      </c>
      <c r="C16" s="14" t="s">
        <v>1</v>
      </c>
      <c r="D16" s="14" t="s">
        <v>101</v>
      </c>
      <c r="E16" s="15">
        <v>0</v>
      </c>
      <c r="F16" s="15">
        <v>0</v>
      </c>
      <c r="G16" s="15">
        <v>0</v>
      </c>
      <c r="H16" s="15">
        <v>0</v>
      </c>
      <c r="I16" s="15"/>
      <c r="J16" s="15">
        <f t="shared" si="1"/>
        <v>0</v>
      </c>
    </row>
    <row r="17" spans="1:10" x14ac:dyDescent="0.3">
      <c r="B17" s="24"/>
      <c r="C17" s="24"/>
      <c r="D17" s="24"/>
      <c r="E17" s="15"/>
      <c r="F17" s="15"/>
      <c r="G17" s="15"/>
      <c r="H17" s="15"/>
      <c r="I17" s="15"/>
      <c r="J17" s="15"/>
    </row>
    <row r="21" spans="1:10" x14ac:dyDescent="0.3">
      <c r="A21" s="1"/>
      <c r="B21" s="1"/>
      <c r="C21" s="1"/>
      <c r="D21" s="2"/>
      <c r="E21" s="10" t="s">
        <v>1</v>
      </c>
      <c r="F21" s="10" t="s">
        <v>4</v>
      </c>
      <c r="G21" s="10" t="s">
        <v>2</v>
      </c>
      <c r="H21" s="11" t="s">
        <v>12</v>
      </c>
      <c r="I21" s="10" t="s">
        <v>3</v>
      </c>
      <c r="J21" s="9" t="s">
        <v>6</v>
      </c>
    </row>
    <row r="22" spans="1:10" x14ac:dyDescent="0.3">
      <c r="A22" s="3" t="s">
        <v>379</v>
      </c>
      <c r="B22" s="3" t="s">
        <v>7</v>
      </c>
      <c r="C22" s="4" t="s">
        <v>8</v>
      </c>
      <c r="D22" s="4" t="s">
        <v>0</v>
      </c>
      <c r="E22" s="5" t="s">
        <v>9</v>
      </c>
      <c r="F22" s="6" t="s">
        <v>9</v>
      </c>
      <c r="G22" s="7" t="s">
        <v>9</v>
      </c>
      <c r="H22" s="7" t="s">
        <v>9</v>
      </c>
      <c r="I22" s="8" t="s">
        <v>9</v>
      </c>
      <c r="J22" s="8" t="s">
        <v>9</v>
      </c>
    </row>
    <row r="23" spans="1:10" x14ac:dyDescent="0.3">
      <c r="A23">
        <f t="shared" ref="A23:A65" si="2">RANK(J23,$J$23:$J$65)</f>
        <v>1</v>
      </c>
      <c r="B23" s="14" t="s">
        <v>112</v>
      </c>
      <c r="C23" s="14" t="s">
        <v>1</v>
      </c>
      <c r="D23" s="14" t="s">
        <v>107</v>
      </c>
      <c r="E23" s="15">
        <v>94.148936170212764</v>
      </c>
      <c r="F23" s="15">
        <v>96.28</v>
      </c>
      <c r="G23" s="15">
        <v>85.762711864406782</v>
      </c>
      <c r="H23" s="15">
        <v>98.39</v>
      </c>
      <c r="I23" s="15"/>
      <c r="J23" s="15">
        <f t="shared" ref="J23:J65" si="3">LARGE(E23:I23,1)+LARGE(E23:I23,2)+LARGE(E23:I23,3)</f>
        <v>288.81893617021279</v>
      </c>
    </row>
    <row r="24" spans="1:10" x14ac:dyDescent="0.3">
      <c r="A24">
        <f t="shared" si="2"/>
        <v>2</v>
      </c>
      <c r="B24" s="17" t="s">
        <v>467</v>
      </c>
      <c r="C24" s="17" t="s">
        <v>61</v>
      </c>
      <c r="D24" s="17" t="s">
        <v>107</v>
      </c>
      <c r="E24" s="15">
        <v>0</v>
      </c>
      <c r="F24" s="15">
        <v>97.28</v>
      </c>
      <c r="G24" s="15">
        <v>88.13559322033899</v>
      </c>
      <c r="H24" s="15">
        <v>98.89</v>
      </c>
      <c r="I24" s="15"/>
      <c r="J24" s="15">
        <f t="shared" si="3"/>
        <v>284.30559322033901</v>
      </c>
    </row>
    <row r="25" spans="1:10" x14ac:dyDescent="0.3">
      <c r="A25">
        <f t="shared" si="2"/>
        <v>3</v>
      </c>
      <c r="B25" s="14" t="s">
        <v>133</v>
      </c>
      <c r="C25" s="14" t="s">
        <v>131</v>
      </c>
      <c r="D25" s="14" t="s">
        <v>107</v>
      </c>
      <c r="E25" s="15">
        <v>53.546099290780141</v>
      </c>
      <c r="F25" s="15">
        <v>95.83</v>
      </c>
      <c r="G25" s="15">
        <v>88.898305084745758</v>
      </c>
      <c r="H25" s="15">
        <v>95.79</v>
      </c>
      <c r="I25" s="15"/>
      <c r="J25" s="15">
        <f t="shared" si="3"/>
        <v>280.51830508474575</v>
      </c>
    </row>
    <row r="26" spans="1:10" x14ac:dyDescent="0.3">
      <c r="A26">
        <f t="shared" si="2"/>
        <v>4</v>
      </c>
      <c r="B26" s="14" t="s">
        <v>115</v>
      </c>
      <c r="C26" s="14" t="s">
        <v>5</v>
      </c>
      <c r="D26" s="14" t="s">
        <v>107</v>
      </c>
      <c r="E26" s="15">
        <v>91.843971631205676</v>
      </c>
      <c r="F26" s="15">
        <v>90.48</v>
      </c>
      <c r="G26" s="15">
        <v>0</v>
      </c>
      <c r="H26" s="15">
        <v>93.69</v>
      </c>
      <c r="I26" s="15"/>
      <c r="J26" s="15">
        <f t="shared" si="3"/>
        <v>276.01397163120566</v>
      </c>
    </row>
    <row r="27" spans="1:10" x14ac:dyDescent="0.3">
      <c r="A27">
        <f t="shared" si="2"/>
        <v>5</v>
      </c>
      <c r="B27" s="14" t="s">
        <v>122</v>
      </c>
      <c r="C27" s="14" t="s">
        <v>3</v>
      </c>
      <c r="D27" s="14" t="s">
        <v>107</v>
      </c>
      <c r="E27" s="15">
        <v>89.893617021276597</v>
      </c>
      <c r="F27" s="15">
        <v>88.76</v>
      </c>
      <c r="G27" s="15">
        <v>82.711864406779668</v>
      </c>
      <c r="H27" s="15">
        <v>91.53</v>
      </c>
      <c r="I27" s="15"/>
      <c r="J27" s="15">
        <f t="shared" si="3"/>
        <v>270.18361702127658</v>
      </c>
    </row>
    <row r="28" spans="1:10" x14ac:dyDescent="0.3">
      <c r="A28">
        <f t="shared" si="2"/>
        <v>6</v>
      </c>
      <c r="B28" s="14" t="s">
        <v>121</v>
      </c>
      <c r="C28" s="14" t="s">
        <v>3</v>
      </c>
      <c r="D28" s="14" t="s">
        <v>107</v>
      </c>
      <c r="E28" s="15">
        <v>88.652482269503551</v>
      </c>
      <c r="F28" s="15">
        <v>89.21</v>
      </c>
      <c r="G28" s="15">
        <v>83.220338983050837</v>
      </c>
      <c r="H28" s="15">
        <v>0</v>
      </c>
      <c r="I28" s="15"/>
      <c r="J28" s="15">
        <f t="shared" si="3"/>
        <v>261.08282125255437</v>
      </c>
    </row>
    <row r="29" spans="1:10" x14ac:dyDescent="0.3">
      <c r="A29">
        <f t="shared" si="2"/>
        <v>7</v>
      </c>
      <c r="B29" s="14" t="s">
        <v>127</v>
      </c>
      <c r="C29" s="14" t="s">
        <v>5</v>
      </c>
      <c r="D29" s="14" t="s">
        <v>107</v>
      </c>
      <c r="E29" s="15">
        <v>77.304964539007088</v>
      </c>
      <c r="F29" s="15">
        <v>0</v>
      </c>
      <c r="G29" s="15">
        <v>46.610169491525426</v>
      </c>
      <c r="H29" s="15">
        <v>98.33</v>
      </c>
      <c r="I29" s="15"/>
      <c r="J29" s="15">
        <f t="shared" si="3"/>
        <v>222.24513403053251</v>
      </c>
    </row>
    <row r="30" spans="1:10" x14ac:dyDescent="0.3">
      <c r="A30">
        <f t="shared" si="2"/>
        <v>8</v>
      </c>
      <c r="B30" s="18" t="s">
        <v>106</v>
      </c>
      <c r="C30" s="18" t="s">
        <v>35</v>
      </c>
      <c r="D30" s="20" t="s">
        <v>107</v>
      </c>
      <c r="E30" s="19">
        <v>100</v>
      </c>
      <c r="F30" s="15">
        <v>0</v>
      </c>
      <c r="G30" s="19">
        <v>100</v>
      </c>
      <c r="H30" s="15">
        <v>0</v>
      </c>
      <c r="I30" s="15"/>
      <c r="J30" s="15">
        <f t="shared" si="3"/>
        <v>200</v>
      </c>
    </row>
    <row r="31" spans="1:10" x14ac:dyDescent="0.3">
      <c r="A31">
        <f t="shared" si="2"/>
        <v>9</v>
      </c>
      <c r="B31" s="17" t="s">
        <v>110</v>
      </c>
      <c r="C31" s="17" t="s">
        <v>111</v>
      </c>
      <c r="D31" s="14" t="s">
        <v>107</v>
      </c>
      <c r="E31" s="15">
        <v>94.858156028368796</v>
      </c>
      <c r="F31" s="15">
        <v>87.76</v>
      </c>
      <c r="G31" s="15">
        <v>0</v>
      </c>
      <c r="H31" s="15">
        <v>0</v>
      </c>
      <c r="I31" s="15"/>
      <c r="J31" s="15">
        <f t="shared" si="3"/>
        <v>182.61815602836879</v>
      </c>
    </row>
    <row r="32" spans="1:10" x14ac:dyDescent="0.3">
      <c r="A32">
        <f t="shared" si="2"/>
        <v>10</v>
      </c>
      <c r="B32" s="14" t="s">
        <v>116</v>
      </c>
      <c r="C32" s="14" t="s">
        <v>117</v>
      </c>
      <c r="D32" s="14" t="s">
        <v>107</v>
      </c>
      <c r="E32" s="15">
        <v>91.843971631205676</v>
      </c>
      <c r="F32" s="15">
        <v>0</v>
      </c>
      <c r="G32" s="15">
        <v>87.881355932203377</v>
      </c>
      <c r="H32" s="15">
        <v>0</v>
      </c>
      <c r="I32" s="15"/>
      <c r="J32" s="15">
        <f t="shared" si="3"/>
        <v>179.72532756340905</v>
      </c>
    </row>
    <row r="33" spans="1:10" x14ac:dyDescent="0.3">
      <c r="A33">
        <f t="shared" si="2"/>
        <v>11</v>
      </c>
      <c r="B33" s="14" t="s">
        <v>125</v>
      </c>
      <c r="C33" s="14" t="s">
        <v>126</v>
      </c>
      <c r="D33" s="14" t="s">
        <v>107</v>
      </c>
      <c r="E33" s="15">
        <v>78.01418439716312</v>
      </c>
      <c r="F33" s="30">
        <v>100</v>
      </c>
      <c r="G33" s="15">
        <v>0</v>
      </c>
      <c r="H33" s="15">
        <v>0</v>
      </c>
      <c r="I33" s="15"/>
      <c r="J33" s="15">
        <f t="shared" si="3"/>
        <v>178.01418439716312</v>
      </c>
    </row>
    <row r="34" spans="1:10" x14ac:dyDescent="0.3">
      <c r="A34">
        <f t="shared" si="2"/>
        <v>12</v>
      </c>
      <c r="B34" s="14" t="s">
        <v>470</v>
      </c>
      <c r="C34" s="14" t="s">
        <v>77</v>
      </c>
      <c r="D34" s="14" t="s">
        <v>107</v>
      </c>
      <c r="E34" s="15">
        <v>0</v>
      </c>
      <c r="F34" s="15">
        <v>92.112420670897549</v>
      </c>
      <c r="G34" s="15">
        <v>84.745762711864401</v>
      </c>
      <c r="H34" s="15">
        <v>0</v>
      </c>
      <c r="I34" s="15"/>
      <c r="J34" s="15">
        <f t="shared" si="3"/>
        <v>176.85818338276195</v>
      </c>
    </row>
    <row r="35" spans="1:10" x14ac:dyDescent="0.3">
      <c r="A35">
        <f t="shared" si="2"/>
        <v>13</v>
      </c>
      <c r="B35" s="14" t="s">
        <v>119</v>
      </c>
      <c r="C35" s="14" t="s">
        <v>2</v>
      </c>
      <c r="D35" s="14" t="s">
        <v>107</v>
      </c>
      <c r="E35" s="15">
        <v>89.00709219858156</v>
      </c>
      <c r="F35" s="15">
        <v>0</v>
      </c>
      <c r="G35" s="15">
        <v>84.745762711864401</v>
      </c>
      <c r="H35" s="15">
        <v>0</v>
      </c>
      <c r="I35" s="15"/>
      <c r="J35" s="15">
        <f t="shared" si="3"/>
        <v>173.75285491044596</v>
      </c>
    </row>
    <row r="36" spans="1:10" x14ac:dyDescent="0.3">
      <c r="A36">
        <f t="shared" si="2"/>
        <v>14</v>
      </c>
      <c r="B36" s="14" t="s">
        <v>130</v>
      </c>
      <c r="C36" s="14" t="s">
        <v>131</v>
      </c>
      <c r="D36" s="14" t="s">
        <v>107</v>
      </c>
      <c r="E36" s="15">
        <v>60.106382978723403</v>
      </c>
      <c r="F36" s="15">
        <v>15.41</v>
      </c>
      <c r="G36" s="15">
        <v>0</v>
      </c>
      <c r="H36" s="15">
        <v>94.25</v>
      </c>
      <c r="I36" s="15"/>
      <c r="J36" s="15">
        <f t="shared" si="3"/>
        <v>169.76638297872339</v>
      </c>
    </row>
    <row r="37" spans="1:10" x14ac:dyDescent="0.3">
      <c r="A37">
        <f t="shared" si="2"/>
        <v>15</v>
      </c>
      <c r="B37" s="14" t="s">
        <v>123</v>
      </c>
      <c r="C37" s="14" t="s">
        <v>124</v>
      </c>
      <c r="D37" s="14" t="s">
        <v>107</v>
      </c>
      <c r="E37" s="15">
        <v>82.092198581560282</v>
      </c>
      <c r="F37" s="15">
        <v>0</v>
      </c>
      <c r="G37" s="15">
        <v>76.101694915254242</v>
      </c>
      <c r="H37" s="15">
        <v>0</v>
      </c>
      <c r="I37" s="15"/>
      <c r="J37" s="15">
        <f t="shared" si="3"/>
        <v>158.19389349681452</v>
      </c>
    </row>
    <row r="38" spans="1:10" x14ac:dyDescent="0.3">
      <c r="A38">
        <f t="shared" si="2"/>
        <v>16</v>
      </c>
      <c r="B38" s="14" t="s">
        <v>113</v>
      </c>
      <c r="C38" s="14" t="s">
        <v>1</v>
      </c>
      <c r="D38" s="14" t="s">
        <v>107</v>
      </c>
      <c r="E38" s="15">
        <v>92.553191489361708</v>
      </c>
      <c r="F38" s="15">
        <v>0</v>
      </c>
      <c r="G38" s="15">
        <v>0</v>
      </c>
      <c r="H38" s="15">
        <v>59.31</v>
      </c>
      <c r="I38" s="15"/>
      <c r="J38" s="15">
        <f t="shared" si="3"/>
        <v>151.86319148936172</v>
      </c>
    </row>
    <row r="39" spans="1:10" x14ac:dyDescent="0.3">
      <c r="A39">
        <f t="shared" si="2"/>
        <v>17</v>
      </c>
      <c r="B39" s="14" t="s">
        <v>132</v>
      </c>
      <c r="C39" s="14" t="s">
        <v>12</v>
      </c>
      <c r="D39" s="14" t="s">
        <v>107</v>
      </c>
      <c r="E39" s="15">
        <v>54.432624113475185</v>
      </c>
      <c r="F39" s="15">
        <v>92.84</v>
      </c>
      <c r="G39" s="15">
        <v>0</v>
      </c>
      <c r="H39" s="15">
        <v>0</v>
      </c>
      <c r="I39" s="15"/>
      <c r="J39" s="15">
        <f t="shared" si="3"/>
        <v>147.27262411347519</v>
      </c>
    </row>
    <row r="40" spans="1:10" x14ac:dyDescent="0.3">
      <c r="A40">
        <f t="shared" si="2"/>
        <v>18</v>
      </c>
      <c r="B40" s="17" t="s">
        <v>468</v>
      </c>
      <c r="C40" s="17" t="s">
        <v>3</v>
      </c>
      <c r="D40" s="17" t="s">
        <v>107</v>
      </c>
      <c r="E40" s="15">
        <v>0</v>
      </c>
      <c r="F40" s="15">
        <v>82.14</v>
      </c>
      <c r="G40" s="15">
        <v>0</v>
      </c>
      <c r="H40" s="15">
        <v>49.78</v>
      </c>
      <c r="I40" s="15"/>
      <c r="J40" s="15">
        <f t="shared" si="3"/>
        <v>131.92000000000002</v>
      </c>
    </row>
    <row r="41" spans="1:10" x14ac:dyDescent="0.3">
      <c r="A41">
        <f t="shared" si="2"/>
        <v>19</v>
      </c>
      <c r="B41" s="32" t="s">
        <v>134</v>
      </c>
      <c r="C41" s="32" t="s">
        <v>12</v>
      </c>
      <c r="D41" s="32" t="s">
        <v>107</v>
      </c>
      <c r="E41" s="15">
        <v>42.021276595744681</v>
      </c>
      <c r="F41" s="15">
        <v>0</v>
      </c>
      <c r="G41" s="15">
        <v>0</v>
      </c>
      <c r="H41" s="44">
        <v>79.41</v>
      </c>
      <c r="I41" s="15"/>
      <c r="J41" s="15">
        <f t="shared" si="3"/>
        <v>121.43127659574468</v>
      </c>
    </row>
    <row r="42" spans="1:10" x14ac:dyDescent="0.3">
      <c r="A42">
        <f t="shared" si="2"/>
        <v>20</v>
      </c>
      <c r="B42" s="18" t="s">
        <v>108</v>
      </c>
      <c r="C42" s="18" t="s">
        <v>109</v>
      </c>
      <c r="D42" s="20" t="s">
        <v>107</v>
      </c>
      <c r="E42" s="19">
        <v>95.921985815602838</v>
      </c>
      <c r="F42" s="15">
        <v>0</v>
      </c>
      <c r="G42" s="15">
        <v>0</v>
      </c>
      <c r="H42" s="15">
        <v>0</v>
      </c>
      <c r="I42" s="15"/>
      <c r="J42" s="15">
        <f t="shared" si="3"/>
        <v>95.921985815602838</v>
      </c>
    </row>
    <row r="43" spans="1:10" x14ac:dyDescent="0.3">
      <c r="A43">
        <f t="shared" si="2"/>
        <v>21</v>
      </c>
      <c r="B43" s="49" t="s">
        <v>482</v>
      </c>
      <c r="C43" s="49" t="s">
        <v>61</v>
      </c>
      <c r="D43" s="49" t="s">
        <v>107</v>
      </c>
      <c r="E43" s="15">
        <v>0</v>
      </c>
      <c r="F43" s="15">
        <v>0</v>
      </c>
      <c r="G43" s="19">
        <v>93.220338983050851</v>
      </c>
      <c r="H43" s="15">
        <v>0</v>
      </c>
      <c r="J43" s="15">
        <f t="shared" si="3"/>
        <v>93.220338983050851</v>
      </c>
    </row>
    <row r="44" spans="1:10" x14ac:dyDescent="0.3">
      <c r="A44">
        <f t="shared" si="2"/>
        <v>22</v>
      </c>
      <c r="B44" s="14" t="s">
        <v>114</v>
      </c>
      <c r="C44" s="14" t="s">
        <v>1</v>
      </c>
      <c r="D44" s="14" t="s">
        <v>107</v>
      </c>
      <c r="E44" s="15">
        <v>92.553191489361708</v>
      </c>
      <c r="F44" s="15">
        <v>0</v>
      </c>
      <c r="G44" s="15">
        <v>0</v>
      </c>
      <c r="H44" s="15">
        <v>0</v>
      </c>
      <c r="I44" s="15"/>
      <c r="J44" s="15">
        <f t="shared" si="3"/>
        <v>92.553191489361708</v>
      </c>
    </row>
    <row r="45" spans="1:10" x14ac:dyDescent="0.3">
      <c r="A45">
        <f t="shared" si="2"/>
        <v>22</v>
      </c>
      <c r="B45" s="14" t="s">
        <v>120</v>
      </c>
      <c r="C45" s="14" t="s">
        <v>77</v>
      </c>
      <c r="D45" s="14" t="s">
        <v>107</v>
      </c>
      <c r="E45" s="15">
        <v>92.553191489361708</v>
      </c>
      <c r="F45" s="15">
        <v>0</v>
      </c>
      <c r="G45" s="15">
        <v>0</v>
      </c>
      <c r="H45" s="15">
        <v>0</v>
      </c>
      <c r="I45" s="15"/>
      <c r="J45" s="15">
        <f t="shared" si="3"/>
        <v>92.553191489361708</v>
      </c>
    </row>
    <row r="46" spans="1:10" x14ac:dyDescent="0.3">
      <c r="A46">
        <f t="shared" si="2"/>
        <v>24</v>
      </c>
      <c r="B46" s="17" t="s">
        <v>184</v>
      </c>
      <c r="C46" s="17" t="s">
        <v>3</v>
      </c>
      <c r="D46" s="17" t="s">
        <v>107</v>
      </c>
      <c r="E46" s="15">
        <v>0</v>
      </c>
      <c r="F46" s="15">
        <v>0</v>
      </c>
      <c r="G46" s="15">
        <v>0</v>
      </c>
      <c r="H46" s="44">
        <v>91.59</v>
      </c>
      <c r="J46" s="15">
        <f t="shared" si="3"/>
        <v>91.59</v>
      </c>
    </row>
    <row r="47" spans="1:10" x14ac:dyDescent="0.3">
      <c r="A47">
        <f t="shared" si="2"/>
        <v>25</v>
      </c>
      <c r="B47" s="42" t="s">
        <v>697</v>
      </c>
      <c r="C47" s="42" t="s">
        <v>126</v>
      </c>
      <c r="D47" s="42" t="s">
        <v>107</v>
      </c>
      <c r="E47" s="15">
        <v>0</v>
      </c>
      <c r="F47" s="15">
        <v>0</v>
      </c>
      <c r="G47" s="15">
        <v>0</v>
      </c>
      <c r="H47" s="15">
        <v>88.87</v>
      </c>
      <c r="J47" s="15">
        <f t="shared" si="3"/>
        <v>88.87</v>
      </c>
    </row>
    <row r="48" spans="1:10" x14ac:dyDescent="0.3">
      <c r="A48">
        <f t="shared" si="2"/>
        <v>25</v>
      </c>
      <c r="B48" s="17" t="s">
        <v>179</v>
      </c>
      <c r="C48" s="17" t="s">
        <v>12</v>
      </c>
      <c r="D48" s="17" t="s">
        <v>107</v>
      </c>
      <c r="E48" s="15">
        <v>0</v>
      </c>
      <c r="F48" s="15">
        <v>0</v>
      </c>
      <c r="G48" s="15">
        <v>0</v>
      </c>
      <c r="H48" s="44">
        <v>88.87</v>
      </c>
      <c r="J48" s="15">
        <f t="shared" si="3"/>
        <v>88.87</v>
      </c>
    </row>
    <row r="49" spans="1:10" x14ac:dyDescent="0.3">
      <c r="A49">
        <f t="shared" si="2"/>
        <v>27</v>
      </c>
      <c r="B49" s="14" t="s">
        <v>136</v>
      </c>
      <c r="C49" s="14" t="s">
        <v>126</v>
      </c>
      <c r="D49" s="14" t="s">
        <v>107</v>
      </c>
      <c r="E49" s="15">
        <v>0</v>
      </c>
      <c r="F49" s="15">
        <v>0</v>
      </c>
      <c r="G49" s="15">
        <v>83.13559322033899</v>
      </c>
      <c r="H49" s="15">
        <v>0</v>
      </c>
      <c r="I49" s="15"/>
      <c r="J49" s="15">
        <f t="shared" si="3"/>
        <v>83.13559322033899</v>
      </c>
    </row>
    <row r="50" spans="1:10" x14ac:dyDescent="0.3">
      <c r="A50">
        <f t="shared" si="2"/>
        <v>28</v>
      </c>
      <c r="B50" s="14" t="s">
        <v>128</v>
      </c>
      <c r="C50" s="14" t="s">
        <v>2</v>
      </c>
      <c r="D50" s="14" t="s">
        <v>107</v>
      </c>
      <c r="E50" s="15">
        <v>73.049645390070921</v>
      </c>
      <c r="F50" s="15">
        <v>0</v>
      </c>
      <c r="G50" s="15">
        <v>0</v>
      </c>
      <c r="H50" s="15">
        <v>0</v>
      </c>
      <c r="I50" s="15"/>
      <c r="J50" s="15">
        <f t="shared" si="3"/>
        <v>73.049645390070921</v>
      </c>
    </row>
    <row r="51" spans="1:10" x14ac:dyDescent="0.3">
      <c r="A51">
        <f t="shared" si="2"/>
        <v>29</v>
      </c>
      <c r="B51" s="14" t="s">
        <v>129</v>
      </c>
      <c r="C51" s="14" t="s">
        <v>46</v>
      </c>
      <c r="D51" s="14" t="s">
        <v>107</v>
      </c>
      <c r="E51" s="15">
        <v>71.099290780141843</v>
      </c>
      <c r="F51" s="15">
        <v>0</v>
      </c>
      <c r="G51" s="15">
        <v>0</v>
      </c>
      <c r="H51" s="15">
        <v>0</v>
      </c>
      <c r="I51" s="15"/>
      <c r="J51" s="15">
        <f t="shared" si="3"/>
        <v>71.099290780141843</v>
      </c>
    </row>
    <row r="52" spans="1:10" x14ac:dyDescent="0.3">
      <c r="A52">
        <f t="shared" si="2"/>
        <v>30</v>
      </c>
      <c r="B52" s="42" t="s">
        <v>156</v>
      </c>
      <c r="C52" s="42" t="s">
        <v>126</v>
      </c>
      <c r="D52" s="42" t="s">
        <v>107</v>
      </c>
      <c r="E52" s="15">
        <v>0</v>
      </c>
      <c r="F52" s="15">
        <v>0</v>
      </c>
      <c r="G52" s="15">
        <v>70.847457627118644</v>
      </c>
      <c r="H52" s="15">
        <v>0</v>
      </c>
      <c r="J52" s="15">
        <f t="shared" si="3"/>
        <v>70.847457627118644</v>
      </c>
    </row>
    <row r="53" spans="1:10" x14ac:dyDescent="0.3">
      <c r="A53">
        <f t="shared" si="2"/>
        <v>31</v>
      </c>
      <c r="B53" s="17" t="s">
        <v>154</v>
      </c>
      <c r="C53" s="17" t="s">
        <v>111</v>
      </c>
      <c r="D53" s="17" t="s">
        <v>107</v>
      </c>
      <c r="E53" s="15">
        <v>0</v>
      </c>
      <c r="F53" s="15">
        <v>0</v>
      </c>
      <c r="G53" s="15">
        <v>0</v>
      </c>
      <c r="H53" s="44">
        <v>67.59</v>
      </c>
      <c r="J53" s="15">
        <f t="shared" si="3"/>
        <v>67.59</v>
      </c>
    </row>
    <row r="54" spans="1:10" x14ac:dyDescent="0.3">
      <c r="A54">
        <f t="shared" si="2"/>
        <v>32</v>
      </c>
      <c r="B54" s="17" t="s">
        <v>704</v>
      </c>
      <c r="C54" s="17" t="s">
        <v>160</v>
      </c>
      <c r="D54" s="17" t="s">
        <v>107</v>
      </c>
      <c r="E54" s="15">
        <v>0</v>
      </c>
      <c r="F54" s="15">
        <v>0</v>
      </c>
      <c r="G54" s="15">
        <v>0</v>
      </c>
      <c r="H54" s="44">
        <v>55.66</v>
      </c>
      <c r="J54" s="15">
        <f t="shared" si="3"/>
        <v>55.66</v>
      </c>
    </row>
    <row r="55" spans="1:10" x14ac:dyDescent="0.3">
      <c r="A55">
        <f t="shared" si="2"/>
        <v>33</v>
      </c>
      <c r="B55" s="17" t="s">
        <v>169</v>
      </c>
      <c r="C55" s="17" t="s">
        <v>19</v>
      </c>
      <c r="D55" s="17" t="s">
        <v>107</v>
      </c>
      <c r="E55" s="15">
        <v>0</v>
      </c>
      <c r="F55" s="15">
        <v>0</v>
      </c>
      <c r="G55" s="15">
        <v>0</v>
      </c>
      <c r="H55" s="44">
        <v>53.8</v>
      </c>
      <c r="J55" s="15">
        <f t="shared" si="3"/>
        <v>53.8</v>
      </c>
    </row>
    <row r="56" spans="1:10" x14ac:dyDescent="0.3">
      <c r="A56">
        <f t="shared" si="2"/>
        <v>34</v>
      </c>
      <c r="B56" s="14" t="s">
        <v>135</v>
      </c>
      <c r="C56" s="14" t="s">
        <v>12</v>
      </c>
      <c r="D56" s="14" t="s">
        <v>107</v>
      </c>
      <c r="E56" s="15">
        <v>29.25531914893617</v>
      </c>
      <c r="F56" s="15">
        <v>0</v>
      </c>
      <c r="G56" s="15">
        <v>0</v>
      </c>
      <c r="H56" s="15">
        <v>0</v>
      </c>
      <c r="I56" s="15"/>
      <c r="J56" s="15">
        <f t="shared" si="3"/>
        <v>29.25531914893617</v>
      </c>
    </row>
    <row r="57" spans="1:10" x14ac:dyDescent="0.3">
      <c r="A57">
        <f t="shared" si="2"/>
        <v>35</v>
      </c>
      <c r="B57" s="17" t="s">
        <v>703</v>
      </c>
      <c r="C57" s="17" t="s">
        <v>14</v>
      </c>
      <c r="D57" s="17" t="s">
        <v>107</v>
      </c>
      <c r="E57" s="15">
        <v>0</v>
      </c>
      <c r="F57" s="15">
        <v>0</v>
      </c>
      <c r="G57" s="15">
        <v>0</v>
      </c>
      <c r="H57" s="44">
        <v>23.38</v>
      </c>
      <c r="J57" s="15">
        <f t="shared" si="3"/>
        <v>23.38</v>
      </c>
    </row>
    <row r="58" spans="1:10" x14ac:dyDescent="0.3">
      <c r="A58">
        <f t="shared" si="2"/>
        <v>36</v>
      </c>
      <c r="B58" s="42" t="s">
        <v>696</v>
      </c>
      <c r="C58" s="42" t="s">
        <v>77</v>
      </c>
      <c r="D58" s="42" t="s">
        <v>107</v>
      </c>
      <c r="E58" s="15">
        <v>0</v>
      </c>
      <c r="F58" s="15">
        <v>0</v>
      </c>
      <c r="G58" s="15">
        <v>0</v>
      </c>
      <c r="H58" s="15">
        <v>0</v>
      </c>
      <c r="J58" s="15">
        <f t="shared" si="3"/>
        <v>0</v>
      </c>
    </row>
    <row r="59" spans="1:10" x14ac:dyDescent="0.3">
      <c r="A59">
        <f t="shared" si="2"/>
        <v>36</v>
      </c>
      <c r="B59" s="46" t="s">
        <v>96</v>
      </c>
      <c r="C59" s="46" t="s">
        <v>2</v>
      </c>
      <c r="D59" s="46" t="s">
        <v>107</v>
      </c>
      <c r="E59" s="15">
        <v>0</v>
      </c>
      <c r="F59" s="15">
        <v>0</v>
      </c>
      <c r="G59" s="15">
        <v>0</v>
      </c>
      <c r="H59" s="15">
        <v>0</v>
      </c>
      <c r="J59" s="15">
        <f t="shared" si="3"/>
        <v>0</v>
      </c>
    </row>
    <row r="60" spans="1:10" x14ac:dyDescent="0.3">
      <c r="A60">
        <f t="shared" si="2"/>
        <v>36</v>
      </c>
      <c r="B60" s="32" t="s">
        <v>469</v>
      </c>
      <c r="C60" s="32" t="s">
        <v>35</v>
      </c>
      <c r="D60" s="32" t="s">
        <v>107</v>
      </c>
      <c r="E60" s="15">
        <v>0</v>
      </c>
      <c r="F60" s="15">
        <v>0</v>
      </c>
      <c r="G60" s="15">
        <v>0</v>
      </c>
      <c r="H60" s="15">
        <v>0</v>
      </c>
      <c r="I60" s="15"/>
      <c r="J60" s="15">
        <f t="shared" si="3"/>
        <v>0</v>
      </c>
    </row>
    <row r="61" spans="1:10" x14ac:dyDescent="0.3">
      <c r="A61">
        <f t="shared" si="2"/>
        <v>36</v>
      </c>
      <c r="B61" s="32" t="s">
        <v>118</v>
      </c>
      <c r="C61" s="32" t="s">
        <v>54</v>
      </c>
      <c r="D61" s="32" t="s">
        <v>107</v>
      </c>
      <c r="E61" s="15">
        <v>0</v>
      </c>
      <c r="F61" s="15">
        <v>0</v>
      </c>
      <c r="G61" s="15">
        <v>0</v>
      </c>
      <c r="H61" s="15">
        <v>0</v>
      </c>
      <c r="I61" s="15"/>
      <c r="J61" s="15">
        <f t="shared" si="3"/>
        <v>0</v>
      </c>
    </row>
    <row r="62" spans="1:10" x14ac:dyDescent="0.3">
      <c r="A62">
        <f t="shared" si="2"/>
        <v>36</v>
      </c>
      <c r="B62" s="23" t="s">
        <v>471</v>
      </c>
      <c r="C62" s="23" t="s">
        <v>77</v>
      </c>
      <c r="D62" s="23" t="s">
        <v>107</v>
      </c>
      <c r="E62" s="15">
        <v>0</v>
      </c>
      <c r="F62" s="15">
        <v>0</v>
      </c>
      <c r="G62" s="15">
        <v>0</v>
      </c>
      <c r="H62" s="15">
        <v>0</v>
      </c>
      <c r="I62" s="15"/>
      <c r="J62" s="15">
        <f t="shared" si="3"/>
        <v>0</v>
      </c>
    </row>
    <row r="63" spans="1:10" x14ac:dyDescent="0.3">
      <c r="A63">
        <f t="shared" si="2"/>
        <v>36</v>
      </c>
      <c r="B63" s="46" t="s">
        <v>695</v>
      </c>
      <c r="C63" s="46" t="s">
        <v>131</v>
      </c>
      <c r="D63" s="46" t="s">
        <v>107</v>
      </c>
      <c r="E63" s="15">
        <v>0</v>
      </c>
      <c r="F63" s="15">
        <v>0</v>
      </c>
      <c r="G63" s="15">
        <v>0</v>
      </c>
      <c r="H63" s="15">
        <v>0</v>
      </c>
      <c r="J63" s="15">
        <f t="shared" si="3"/>
        <v>0</v>
      </c>
    </row>
    <row r="64" spans="1:10" x14ac:dyDescent="0.3">
      <c r="A64">
        <f t="shared" si="2"/>
        <v>36</v>
      </c>
      <c r="B64" s="46" t="s">
        <v>151</v>
      </c>
      <c r="C64" s="46" t="s">
        <v>117</v>
      </c>
      <c r="D64" s="46" t="s">
        <v>107</v>
      </c>
      <c r="E64" s="15">
        <v>0</v>
      </c>
      <c r="F64" s="15">
        <v>0</v>
      </c>
      <c r="G64" s="15">
        <v>0</v>
      </c>
      <c r="H64" s="44">
        <v>0</v>
      </c>
      <c r="J64" s="15">
        <f t="shared" si="3"/>
        <v>0</v>
      </c>
    </row>
    <row r="65" spans="1:10" x14ac:dyDescent="0.3">
      <c r="A65">
        <f t="shared" si="2"/>
        <v>36</v>
      </c>
      <c r="B65" s="23" t="s">
        <v>705</v>
      </c>
      <c r="C65" s="23" t="s">
        <v>160</v>
      </c>
      <c r="D65" s="23" t="s">
        <v>107</v>
      </c>
      <c r="E65" s="15">
        <v>0</v>
      </c>
      <c r="F65" s="15">
        <v>0</v>
      </c>
      <c r="G65" s="15">
        <v>0</v>
      </c>
      <c r="H65" s="44">
        <v>0</v>
      </c>
      <c r="J65" s="15">
        <f t="shared" si="3"/>
        <v>0</v>
      </c>
    </row>
    <row r="66" spans="1:10" x14ac:dyDescent="0.3">
      <c r="B66" s="23"/>
      <c r="C66" s="23"/>
      <c r="D66" s="23"/>
      <c r="E66" s="15"/>
      <c r="F66" s="15"/>
      <c r="G66" s="15"/>
    </row>
    <row r="67" spans="1:10" x14ac:dyDescent="0.3">
      <c r="B67" s="23"/>
      <c r="C67" s="23"/>
      <c r="D67" s="23"/>
      <c r="E67" s="15"/>
      <c r="F67" s="15"/>
      <c r="G67" s="15"/>
      <c r="H67" s="44"/>
    </row>
  </sheetData>
  <sortState xmlns:xlrd2="http://schemas.microsoft.com/office/spreadsheetml/2017/richdata2" ref="A23:J65">
    <sortCondition ref="A2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6F4E2-07C7-4676-B03B-369E1E9B7062}">
  <sheetPr codeName="Sheet7"/>
  <dimension ref="A1:J65"/>
  <sheetViews>
    <sheetView topLeftCell="A16" zoomScale="80" zoomScaleNormal="80" workbookViewId="0">
      <selection activeCell="B27" sqref="B27:C29"/>
    </sheetView>
  </sheetViews>
  <sheetFormatPr defaultRowHeight="14.4" x14ac:dyDescent="0.3"/>
  <cols>
    <col min="2" max="2" width="20.88671875" bestFit="1" customWidth="1"/>
    <col min="3" max="3" width="14.109375" bestFit="1" customWidth="1"/>
    <col min="4" max="4" width="13.88671875" bestFit="1" customWidth="1"/>
    <col min="5" max="6" width="10.109375" bestFit="1" customWidth="1"/>
    <col min="7" max="7" width="10.44140625" bestFit="1" customWidth="1"/>
    <col min="8" max="8" width="11.44140625" bestFit="1" customWidth="1"/>
    <col min="9" max="9" width="12.88671875" bestFit="1" customWidth="1"/>
    <col min="10" max="10" width="10.109375" bestFit="1" customWidth="1"/>
  </cols>
  <sheetData>
    <row r="1" spans="1:10" x14ac:dyDescent="0.3">
      <c r="A1" s="1"/>
      <c r="B1" s="1"/>
      <c r="C1" s="1"/>
      <c r="D1" s="2"/>
      <c r="E1" s="10" t="s">
        <v>1</v>
      </c>
      <c r="F1" s="10" t="s">
        <v>4</v>
      </c>
      <c r="G1" s="10" t="s">
        <v>2</v>
      </c>
      <c r="H1" s="11" t="s">
        <v>12</v>
      </c>
      <c r="I1" s="10" t="s">
        <v>3</v>
      </c>
      <c r="J1" s="9" t="s">
        <v>6</v>
      </c>
    </row>
    <row r="2" spans="1:10" x14ac:dyDescent="0.3">
      <c r="A2" s="16" t="s">
        <v>379</v>
      </c>
      <c r="B2" s="3" t="s">
        <v>7</v>
      </c>
      <c r="C2" s="4" t="s">
        <v>8</v>
      </c>
      <c r="D2" s="4" t="s">
        <v>0</v>
      </c>
      <c r="E2" s="5" t="s">
        <v>9</v>
      </c>
      <c r="F2" s="6" t="s">
        <v>9</v>
      </c>
      <c r="G2" s="7" t="s">
        <v>9</v>
      </c>
      <c r="H2" s="7" t="s">
        <v>9</v>
      </c>
      <c r="I2" s="8" t="s">
        <v>9</v>
      </c>
      <c r="J2" s="8" t="s">
        <v>9</v>
      </c>
    </row>
    <row r="3" spans="1:10" x14ac:dyDescent="0.3">
      <c r="A3">
        <f t="shared" ref="A3:A19" si="0">RANK(J3,$J$3:$J$18)</f>
        <v>1</v>
      </c>
      <c r="B3" s="14" t="s">
        <v>68</v>
      </c>
      <c r="C3" s="14" t="s">
        <v>46</v>
      </c>
      <c r="D3" s="14" t="s">
        <v>56</v>
      </c>
      <c r="E3" s="15">
        <v>53.26678765880218</v>
      </c>
      <c r="F3" s="15">
        <v>97.66</v>
      </c>
      <c r="G3" s="15">
        <v>98.2</v>
      </c>
      <c r="H3" s="15">
        <v>100</v>
      </c>
      <c r="I3" s="15"/>
      <c r="J3" s="15">
        <f t="shared" ref="J3:J19" si="1">LARGE(E3:I3,1)+LARGE(E3:I3,2)+LARGE(E3:I3,3)</f>
        <v>295.86</v>
      </c>
    </row>
    <row r="4" spans="1:10" x14ac:dyDescent="0.3">
      <c r="A4">
        <f t="shared" si="0"/>
        <v>2</v>
      </c>
      <c r="B4" s="17" t="s">
        <v>57</v>
      </c>
      <c r="C4" s="17" t="s">
        <v>19</v>
      </c>
      <c r="D4" s="14" t="s">
        <v>56</v>
      </c>
      <c r="E4" s="15">
        <v>98.820326678765895</v>
      </c>
      <c r="F4" s="15">
        <v>95.77</v>
      </c>
      <c r="G4" s="15">
        <v>95.64</v>
      </c>
      <c r="H4" s="15">
        <v>95.19</v>
      </c>
      <c r="I4" s="15"/>
      <c r="J4" s="15">
        <f t="shared" si="1"/>
        <v>290.23032667876589</v>
      </c>
    </row>
    <row r="5" spans="1:10" x14ac:dyDescent="0.3">
      <c r="A5">
        <f t="shared" si="0"/>
        <v>3</v>
      </c>
      <c r="B5" s="14" t="s">
        <v>62</v>
      </c>
      <c r="C5" s="14" t="s">
        <v>19</v>
      </c>
      <c r="D5" s="14" t="s">
        <v>56</v>
      </c>
      <c r="E5" s="15">
        <v>92.831215970961892</v>
      </c>
      <c r="F5" s="15">
        <v>95.23</v>
      </c>
      <c r="G5" s="15">
        <v>0</v>
      </c>
      <c r="H5" s="15">
        <v>94.16</v>
      </c>
      <c r="I5" s="15"/>
      <c r="J5" s="15">
        <f t="shared" si="1"/>
        <v>282.22121597096191</v>
      </c>
    </row>
    <row r="6" spans="1:10" x14ac:dyDescent="0.3">
      <c r="A6">
        <f t="shared" si="0"/>
        <v>4</v>
      </c>
      <c r="B6" s="14" t="s">
        <v>64</v>
      </c>
      <c r="C6" s="14" t="s">
        <v>5</v>
      </c>
      <c r="D6" s="14" t="s">
        <v>56</v>
      </c>
      <c r="E6" s="15">
        <v>82.758620689655174</v>
      </c>
      <c r="F6" s="15">
        <v>46.22</v>
      </c>
      <c r="G6" s="15">
        <v>92.8</v>
      </c>
      <c r="H6" s="15">
        <v>90.93</v>
      </c>
      <c r="I6" s="15"/>
      <c r="J6" s="15">
        <f t="shared" si="1"/>
        <v>266.48862068965519</v>
      </c>
    </row>
    <row r="7" spans="1:10" x14ac:dyDescent="0.3">
      <c r="A7">
        <f t="shared" si="0"/>
        <v>5</v>
      </c>
      <c r="B7" s="14" t="s">
        <v>66</v>
      </c>
      <c r="C7" s="14" t="s">
        <v>27</v>
      </c>
      <c r="D7" s="14" t="s">
        <v>56</v>
      </c>
      <c r="E7" s="15">
        <v>82.395644283121626</v>
      </c>
      <c r="F7" s="15">
        <v>90.11</v>
      </c>
      <c r="G7" s="15">
        <v>0</v>
      </c>
      <c r="H7" s="15">
        <v>74.44</v>
      </c>
      <c r="I7" s="15"/>
      <c r="J7" s="15">
        <f t="shared" si="1"/>
        <v>246.94564428312162</v>
      </c>
    </row>
    <row r="8" spans="1:10" x14ac:dyDescent="0.3">
      <c r="A8">
        <f t="shared" si="0"/>
        <v>6</v>
      </c>
      <c r="B8" s="14" t="s">
        <v>65</v>
      </c>
      <c r="C8" s="14" t="s">
        <v>4</v>
      </c>
      <c r="D8" s="14" t="s">
        <v>56</v>
      </c>
      <c r="E8" s="15">
        <v>83.212341197822127</v>
      </c>
      <c r="F8" s="15">
        <v>92.72</v>
      </c>
      <c r="G8" s="15">
        <v>63.51</v>
      </c>
      <c r="H8" s="15">
        <v>0</v>
      </c>
      <c r="I8" s="15"/>
      <c r="J8" s="15">
        <f t="shared" si="1"/>
        <v>239.44234119782212</v>
      </c>
    </row>
    <row r="9" spans="1:10" x14ac:dyDescent="0.3">
      <c r="A9">
        <f t="shared" si="0"/>
        <v>7</v>
      </c>
      <c r="B9" s="18" t="s">
        <v>55</v>
      </c>
      <c r="C9" s="18" t="s">
        <v>27</v>
      </c>
      <c r="D9" s="20" t="s">
        <v>56</v>
      </c>
      <c r="E9" s="19">
        <v>100</v>
      </c>
      <c r="F9" s="30">
        <v>99.64</v>
      </c>
      <c r="G9" s="15">
        <v>0</v>
      </c>
      <c r="H9" s="15">
        <v>0</v>
      </c>
      <c r="I9" s="15"/>
      <c r="J9" s="15">
        <f t="shared" si="1"/>
        <v>199.64</v>
      </c>
    </row>
    <row r="10" spans="1:10" x14ac:dyDescent="0.3">
      <c r="A10">
        <f t="shared" si="0"/>
        <v>8</v>
      </c>
      <c r="B10" s="17" t="s">
        <v>58</v>
      </c>
      <c r="C10" s="17" t="s">
        <v>59</v>
      </c>
      <c r="D10" s="14" t="s">
        <v>56</v>
      </c>
      <c r="E10" s="15">
        <v>95.462794918330303</v>
      </c>
      <c r="F10" s="30">
        <v>100</v>
      </c>
      <c r="G10" s="15">
        <v>0</v>
      </c>
      <c r="H10" s="15">
        <v>0</v>
      </c>
      <c r="I10" s="15"/>
      <c r="J10" s="15">
        <f t="shared" si="1"/>
        <v>195.4627949183303</v>
      </c>
    </row>
    <row r="11" spans="1:10" x14ac:dyDescent="0.3">
      <c r="A11">
        <f t="shared" si="0"/>
        <v>9</v>
      </c>
      <c r="B11" s="45" t="s">
        <v>628</v>
      </c>
      <c r="C11" s="45" t="s">
        <v>495</v>
      </c>
      <c r="D11" s="42" t="s">
        <v>56</v>
      </c>
      <c r="E11" s="15">
        <v>0</v>
      </c>
      <c r="F11" s="15">
        <v>0</v>
      </c>
      <c r="G11" s="15">
        <v>100</v>
      </c>
      <c r="H11" s="15">
        <v>85.7</v>
      </c>
      <c r="I11" s="15"/>
      <c r="J11" s="15">
        <f t="shared" si="1"/>
        <v>185.7</v>
      </c>
    </row>
    <row r="12" spans="1:10" x14ac:dyDescent="0.3">
      <c r="A12">
        <f t="shared" si="0"/>
        <v>10</v>
      </c>
      <c r="B12" s="14" t="s">
        <v>63</v>
      </c>
      <c r="C12" s="14" t="s">
        <v>4</v>
      </c>
      <c r="D12" s="14" t="s">
        <v>56</v>
      </c>
      <c r="E12" s="15">
        <v>89.564428312159706</v>
      </c>
      <c r="F12" s="15">
        <v>94.51</v>
      </c>
      <c r="G12" s="15">
        <v>0</v>
      </c>
      <c r="H12" s="15">
        <v>0</v>
      </c>
      <c r="I12" s="15"/>
      <c r="J12" s="15">
        <f t="shared" si="1"/>
        <v>184.07442831215971</v>
      </c>
    </row>
    <row r="13" spans="1:10" x14ac:dyDescent="0.3">
      <c r="A13">
        <f t="shared" si="0"/>
        <v>11</v>
      </c>
      <c r="B13" s="14" t="s">
        <v>458</v>
      </c>
      <c r="C13" s="14" t="s">
        <v>54</v>
      </c>
      <c r="D13" s="14" t="s">
        <v>56</v>
      </c>
      <c r="E13" s="15">
        <v>0</v>
      </c>
      <c r="F13" s="15">
        <v>93.525179856115102</v>
      </c>
      <c r="G13" s="15">
        <v>82.75</v>
      </c>
      <c r="H13" s="15">
        <v>0</v>
      </c>
      <c r="I13" s="15"/>
      <c r="J13" s="15">
        <f t="shared" si="1"/>
        <v>176.2751798561151</v>
      </c>
    </row>
    <row r="14" spans="1:10" x14ac:dyDescent="0.3">
      <c r="A14">
        <f t="shared" si="0"/>
        <v>12</v>
      </c>
      <c r="B14" s="14" t="s">
        <v>459</v>
      </c>
      <c r="C14" s="14" t="s">
        <v>5</v>
      </c>
      <c r="D14" s="14" t="s">
        <v>56</v>
      </c>
      <c r="E14" s="15">
        <v>0</v>
      </c>
      <c r="F14" s="15">
        <v>72.122302158273385</v>
      </c>
      <c r="G14" s="15">
        <v>0</v>
      </c>
      <c r="H14" s="15">
        <v>0</v>
      </c>
      <c r="I14" s="15"/>
      <c r="J14" s="15">
        <f t="shared" si="1"/>
        <v>72.122302158273385</v>
      </c>
    </row>
    <row r="15" spans="1:10" x14ac:dyDescent="0.3">
      <c r="A15">
        <f t="shared" si="0"/>
        <v>13</v>
      </c>
      <c r="B15" s="32" t="s">
        <v>69</v>
      </c>
      <c r="C15" s="32" t="s">
        <v>59</v>
      </c>
      <c r="D15" s="32" t="s">
        <v>56</v>
      </c>
      <c r="E15" s="15">
        <v>0</v>
      </c>
      <c r="F15" s="15">
        <v>0</v>
      </c>
      <c r="G15" s="15">
        <v>0</v>
      </c>
      <c r="H15" s="15">
        <v>0</v>
      </c>
      <c r="I15" s="15"/>
      <c r="J15" s="15">
        <f t="shared" si="1"/>
        <v>0</v>
      </c>
    </row>
    <row r="16" spans="1:10" x14ac:dyDescent="0.3">
      <c r="A16">
        <f t="shared" si="0"/>
        <v>13</v>
      </c>
      <c r="B16" s="14" t="s">
        <v>60</v>
      </c>
      <c r="C16" s="14" t="s">
        <v>61</v>
      </c>
      <c r="D16" s="14" t="s">
        <v>56</v>
      </c>
      <c r="E16" s="15">
        <v>0</v>
      </c>
      <c r="F16" s="15">
        <v>0</v>
      </c>
      <c r="G16" s="15">
        <v>0</v>
      </c>
      <c r="H16" s="15">
        <v>0</v>
      </c>
      <c r="I16" s="15"/>
      <c r="J16" s="15">
        <f t="shared" si="1"/>
        <v>0</v>
      </c>
    </row>
    <row r="17" spans="1:10" x14ac:dyDescent="0.3">
      <c r="A17">
        <f t="shared" si="0"/>
        <v>13</v>
      </c>
      <c r="B17" s="14" t="s">
        <v>67</v>
      </c>
      <c r="C17" s="14" t="s">
        <v>2</v>
      </c>
      <c r="D17" s="14" t="s">
        <v>56</v>
      </c>
      <c r="E17" s="15">
        <v>0</v>
      </c>
      <c r="F17" s="15">
        <v>0</v>
      </c>
      <c r="G17" s="15">
        <v>0</v>
      </c>
      <c r="H17" s="15">
        <v>0</v>
      </c>
      <c r="I17" s="15"/>
      <c r="J17" s="15">
        <f t="shared" si="1"/>
        <v>0</v>
      </c>
    </row>
    <row r="18" spans="1:10" x14ac:dyDescent="0.3">
      <c r="A18">
        <f t="shared" si="0"/>
        <v>13</v>
      </c>
      <c r="B18" s="17" t="s">
        <v>457</v>
      </c>
      <c r="C18" s="17" t="s">
        <v>12</v>
      </c>
      <c r="D18" s="17" t="s">
        <v>56</v>
      </c>
      <c r="E18" s="15">
        <v>0</v>
      </c>
      <c r="F18" s="30">
        <v>0</v>
      </c>
      <c r="G18" s="15">
        <v>0</v>
      </c>
      <c r="H18" s="15">
        <v>0</v>
      </c>
      <c r="I18" s="15"/>
      <c r="J18" s="15">
        <f t="shared" si="1"/>
        <v>0</v>
      </c>
    </row>
    <row r="19" spans="1:10" x14ac:dyDescent="0.3">
      <c r="A19">
        <f t="shared" si="0"/>
        <v>13</v>
      </c>
      <c r="B19" s="45" t="s">
        <v>700</v>
      </c>
      <c r="C19" s="45" t="s">
        <v>3</v>
      </c>
      <c r="D19" s="45" t="s">
        <v>56</v>
      </c>
      <c r="E19" s="15">
        <v>0</v>
      </c>
      <c r="F19" s="15">
        <v>0</v>
      </c>
      <c r="G19" s="15">
        <v>0</v>
      </c>
      <c r="H19" s="15">
        <v>0</v>
      </c>
      <c r="I19" s="15"/>
      <c r="J19" s="15">
        <f t="shared" si="1"/>
        <v>0</v>
      </c>
    </row>
    <row r="20" spans="1:10" x14ac:dyDescent="0.3">
      <c r="B20" s="42"/>
      <c r="C20" s="42"/>
      <c r="D20" s="42"/>
      <c r="E20" s="15"/>
      <c r="F20" s="15"/>
      <c r="G20" s="15"/>
      <c r="H20" s="15"/>
      <c r="I20" s="15"/>
      <c r="J20" s="15"/>
    </row>
    <row r="21" spans="1:10" x14ac:dyDescent="0.3">
      <c r="B21" s="42"/>
      <c r="C21" s="42"/>
      <c r="D21" s="42"/>
      <c r="E21" s="15"/>
      <c r="F21" s="15"/>
      <c r="G21" s="15"/>
      <c r="H21" s="15"/>
      <c r="I21" s="15"/>
      <c r="J21" s="15"/>
    </row>
    <row r="22" spans="1:10" x14ac:dyDescent="0.3">
      <c r="B22" s="42"/>
      <c r="C22" s="42"/>
      <c r="D22" s="42"/>
      <c r="E22" s="15"/>
      <c r="F22" s="15"/>
      <c r="G22" s="15"/>
      <c r="H22" s="15"/>
      <c r="I22" s="15"/>
      <c r="J22" s="15"/>
    </row>
    <row r="23" spans="1:10" x14ac:dyDescent="0.3">
      <c r="B23" s="42"/>
      <c r="C23" s="42"/>
      <c r="D23" s="42"/>
      <c r="E23" s="15"/>
      <c r="F23" s="15"/>
      <c r="G23" s="15"/>
      <c r="H23" s="15"/>
      <c r="I23" s="15"/>
      <c r="J23" s="15"/>
    </row>
    <row r="24" spans="1:10" x14ac:dyDescent="0.3">
      <c r="B24" s="42"/>
      <c r="C24" s="42"/>
      <c r="D24" s="42"/>
      <c r="E24" s="15"/>
      <c r="F24" s="15"/>
      <c r="G24" s="15"/>
      <c r="H24" s="15"/>
      <c r="I24" s="15"/>
      <c r="J24" s="15"/>
    </row>
    <row r="25" spans="1:10" x14ac:dyDescent="0.3">
      <c r="A25" s="1"/>
      <c r="B25" s="1"/>
      <c r="C25" s="1"/>
      <c r="D25" s="2"/>
      <c r="E25" s="10" t="s">
        <v>1</v>
      </c>
      <c r="F25" s="10" t="s">
        <v>4</v>
      </c>
      <c r="G25" s="10" t="s">
        <v>2</v>
      </c>
      <c r="H25" s="11" t="s">
        <v>12</v>
      </c>
      <c r="I25" s="10" t="s">
        <v>3</v>
      </c>
      <c r="J25" s="9" t="s">
        <v>6</v>
      </c>
    </row>
    <row r="26" spans="1:10" x14ac:dyDescent="0.3">
      <c r="A26" s="16" t="s">
        <v>379</v>
      </c>
      <c r="B26" s="3" t="s">
        <v>7</v>
      </c>
      <c r="C26" s="4" t="s">
        <v>8</v>
      </c>
      <c r="D26" s="4" t="s">
        <v>0</v>
      </c>
      <c r="E26" s="5" t="s">
        <v>9</v>
      </c>
      <c r="F26" s="6" t="s">
        <v>9</v>
      </c>
      <c r="G26" s="7" t="s">
        <v>9</v>
      </c>
      <c r="H26" s="7" t="s">
        <v>9</v>
      </c>
      <c r="I26" s="8" t="s">
        <v>9</v>
      </c>
      <c r="J26" s="8" t="s">
        <v>9</v>
      </c>
    </row>
    <row r="27" spans="1:10" x14ac:dyDescent="0.3">
      <c r="A27">
        <f t="shared" ref="A27:A65" si="2">RANK(J27,$J$27:$J$63)</f>
        <v>1</v>
      </c>
      <c r="B27" s="17" t="s">
        <v>465</v>
      </c>
      <c r="C27" s="17" t="s">
        <v>3</v>
      </c>
      <c r="D27" s="17" t="s">
        <v>71</v>
      </c>
      <c r="E27" s="15">
        <v>0</v>
      </c>
      <c r="F27" s="30">
        <v>100</v>
      </c>
      <c r="G27" s="15">
        <v>94.778761061946909</v>
      </c>
      <c r="H27" s="15">
        <v>100</v>
      </c>
      <c r="I27" s="15"/>
      <c r="J27" s="15">
        <f t="shared" ref="J27:J65" si="3">LARGE(E27:I27,1)+LARGE(E27:I27,2)+LARGE(E27:I27,3)</f>
        <v>294.77876106194691</v>
      </c>
    </row>
    <row r="28" spans="1:10" x14ac:dyDescent="0.3">
      <c r="A28">
        <f t="shared" si="2"/>
        <v>2</v>
      </c>
      <c r="B28" s="14" t="s">
        <v>75</v>
      </c>
      <c r="C28" s="14" t="s">
        <v>4</v>
      </c>
      <c r="D28" s="14" t="s">
        <v>71</v>
      </c>
      <c r="E28" s="15">
        <v>95.12411347517731</v>
      </c>
      <c r="F28" s="30">
        <v>95.93</v>
      </c>
      <c r="G28" s="15">
        <v>94.247787610619469</v>
      </c>
      <c r="H28" s="15">
        <v>97.67</v>
      </c>
      <c r="I28" s="15"/>
      <c r="J28" s="15">
        <f t="shared" si="3"/>
        <v>288.72411347517732</v>
      </c>
    </row>
    <row r="29" spans="1:10" x14ac:dyDescent="0.3">
      <c r="A29">
        <f t="shared" si="2"/>
        <v>3</v>
      </c>
      <c r="B29" s="14" t="s">
        <v>82</v>
      </c>
      <c r="C29" s="14" t="s">
        <v>19</v>
      </c>
      <c r="D29" s="14" t="s">
        <v>71</v>
      </c>
      <c r="E29" s="15">
        <v>94.680851063829778</v>
      </c>
      <c r="F29" s="15">
        <v>89.96</v>
      </c>
      <c r="G29" s="15">
        <v>69.469026548672559</v>
      </c>
      <c r="H29" s="15">
        <v>96.44</v>
      </c>
      <c r="I29" s="15"/>
      <c r="J29" s="15">
        <f t="shared" si="3"/>
        <v>281.08085106382975</v>
      </c>
    </row>
    <row r="30" spans="1:10" x14ac:dyDescent="0.3">
      <c r="A30">
        <f t="shared" si="2"/>
        <v>4</v>
      </c>
      <c r="B30" s="14" t="s">
        <v>85</v>
      </c>
      <c r="C30" s="14" t="s">
        <v>19</v>
      </c>
      <c r="D30" s="14" t="s">
        <v>71</v>
      </c>
      <c r="E30" s="15">
        <v>88.297872340425528</v>
      </c>
      <c r="F30" s="15">
        <v>94.2</v>
      </c>
      <c r="G30" s="15">
        <v>89.73451327433628</v>
      </c>
      <c r="H30" s="15">
        <v>96.56</v>
      </c>
      <c r="I30" s="15"/>
      <c r="J30" s="15">
        <f t="shared" si="3"/>
        <v>280.49451327433627</v>
      </c>
    </row>
    <row r="31" spans="1:10" x14ac:dyDescent="0.3">
      <c r="A31">
        <f t="shared" si="2"/>
        <v>5</v>
      </c>
      <c r="B31" s="14" t="s">
        <v>93</v>
      </c>
      <c r="C31" s="14" t="s">
        <v>12</v>
      </c>
      <c r="D31" s="14" t="s">
        <v>71</v>
      </c>
      <c r="E31" s="15">
        <v>0</v>
      </c>
      <c r="F31" s="15">
        <v>94.72</v>
      </c>
      <c r="G31" s="15">
        <v>90.088495575221259</v>
      </c>
      <c r="H31" s="15">
        <v>93.99</v>
      </c>
      <c r="I31" s="15"/>
      <c r="J31" s="15">
        <f t="shared" si="3"/>
        <v>278.79849557522124</v>
      </c>
    </row>
    <row r="32" spans="1:10" x14ac:dyDescent="0.3">
      <c r="A32">
        <f t="shared" si="2"/>
        <v>6</v>
      </c>
      <c r="B32" s="14" t="s">
        <v>86</v>
      </c>
      <c r="C32" s="14" t="s">
        <v>27</v>
      </c>
      <c r="D32" s="14" t="s">
        <v>71</v>
      </c>
      <c r="E32" s="15">
        <v>86.790780141843967</v>
      </c>
      <c r="F32" s="15">
        <v>92.99</v>
      </c>
      <c r="G32" s="15">
        <v>0</v>
      </c>
      <c r="H32" s="15">
        <v>96.44</v>
      </c>
      <c r="I32" s="15"/>
      <c r="J32" s="15">
        <f t="shared" si="3"/>
        <v>276.22078014184399</v>
      </c>
    </row>
    <row r="33" spans="1:10" x14ac:dyDescent="0.3">
      <c r="A33">
        <f t="shared" si="2"/>
        <v>7</v>
      </c>
      <c r="B33" s="14" t="s">
        <v>79</v>
      </c>
      <c r="C33" s="14" t="s">
        <v>12</v>
      </c>
      <c r="D33" s="14" t="s">
        <v>71</v>
      </c>
      <c r="E33" s="15">
        <v>93.262411347517727</v>
      </c>
      <c r="F33" s="15">
        <v>91.95</v>
      </c>
      <c r="G33" s="15">
        <v>89.646017699115063</v>
      </c>
      <c r="H33" s="15">
        <v>83.3</v>
      </c>
      <c r="I33" s="15"/>
      <c r="J33" s="15">
        <f t="shared" si="3"/>
        <v>274.85842904663281</v>
      </c>
    </row>
    <row r="34" spans="1:10" x14ac:dyDescent="0.3">
      <c r="A34">
        <f t="shared" si="2"/>
        <v>8</v>
      </c>
      <c r="B34" s="14" t="s">
        <v>87</v>
      </c>
      <c r="C34" s="14" t="s">
        <v>3</v>
      </c>
      <c r="D34" s="14" t="s">
        <v>71</v>
      </c>
      <c r="E34" s="15">
        <v>86.702127659574472</v>
      </c>
      <c r="F34" s="15">
        <v>91.688311688311686</v>
      </c>
      <c r="G34" s="15">
        <v>86.371681415929203</v>
      </c>
      <c r="H34" s="15">
        <v>92.08</v>
      </c>
      <c r="I34" s="15"/>
      <c r="J34" s="15">
        <f t="shared" si="3"/>
        <v>270.47043934788616</v>
      </c>
    </row>
    <row r="35" spans="1:10" x14ac:dyDescent="0.3">
      <c r="A35">
        <f t="shared" si="2"/>
        <v>9</v>
      </c>
      <c r="B35" s="14" t="s">
        <v>88</v>
      </c>
      <c r="C35" s="14" t="s">
        <v>77</v>
      </c>
      <c r="D35" s="14" t="s">
        <v>71</v>
      </c>
      <c r="E35" s="15">
        <v>66.134751773049629</v>
      </c>
      <c r="F35" s="15">
        <v>94.2</v>
      </c>
      <c r="G35" s="15">
        <v>89.999999999999986</v>
      </c>
      <c r="H35" s="15">
        <v>0</v>
      </c>
      <c r="I35" s="15"/>
      <c r="J35" s="15">
        <f t="shared" si="3"/>
        <v>250.33475177304962</v>
      </c>
    </row>
    <row r="36" spans="1:10" x14ac:dyDescent="0.3">
      <c r="A36">
        <f t="shared" si="2"/>
        <v>10</v>
      </c>
      <c r="B36" s="14" t="s">
        <v>91</v>
      </c>
      <c r="C36" s="14" t="s">
        <v>12</v>
      </c>
      <c r="D36" s="14" t="s">
        <v>71</v>
      </c>
      <c r="E36" s="15">
        <v>48.492907801418433</v>
      </c>
      <c r="F36" s="15">
        <v>78.180000000000007</v>
      </c>
      <c r="G36" s="15">
        <v>82.389380530973455</v>
      </c>
      <c r="H36" s="15">
        <v>89.5</v>
      </c>
      <c r="I36" s="15"/>
      <c r="J36" s="15">
        <f t="shared" si="3"/>
        <v>250.06938053097346</v>
      </c>
    </row>
    <row r="37" spans="1:10" x14ac:dyDescent="0.3">
      <c r="A37">
        <f t="shared" si="2"/>
        <v>11</v>
      </c>
      <c r="B37" s="14" t="s">
        <v>90</v>
      </c>
      <c r="C37" s="14" t="s">
        <v>19</v>
      </c>
      <c r="D37" s="14" t="s">
        <v>71</v>
      </c>
      <c r="E37" s="15">
        <v>56.382978723404243</v>
      </c>
      <c r="F37" s="15">
        <v>91.6</v>
      </c>
      <c r="G37" s="15">
        <v>0</v>
      </c>
      <c r="H37" s="15">
        <v>97.36</v>
      </c>
      <c r="I37" s="15"/>
      <c r="J37" s="15">
        <f t="shared" si="3"/>
        <v>245.34297872340423</v>
      </c>
    </row>
    <row r="38" spans="1:10" x14ac:dyDescent="0.3">
      <c r="A38">
        <f t="shared" si="2"/>
        <v>12</v>
      </c>
      <c r="B38" s="20" t="s">
        <v>74</v>
      </c>
      <c r="C38" s="20" t="s">
        <v>14</v>
      </c>
      <c r="D38" s="20" t="s">
        <v>71</v>
      </c>
      <c r="E38" s="19">
        <v>100</v>
      </c>
      <c r="F38" s="15">
        <v>0</v>
      </c>
      <c r="G38" s="19">
        <v>100</v>
      </c>
      <c r="H38" s="30">
        <v>0</v>
      </c>
      <c r="I38" s="15"/>
      <c r="J38" s="15">
        <f t="shared" si="3"/>
        <v>200</v>
      </c>
    </row>
    <row r="39" spans="1:10" x14ac:dyDescent="0.3">
      <c r="A39">
        <f t="shared" si="2"/>
        <v>13</v>
      </c>
      <c r="B39" s="18" t="s">
        <v>462</v>
      </c>
      <c r="C39" s="18" t="s">
        <v>35</v>
      </c>
      <c r="D39" s="18" t="s">
        <v>71</v>
      </c>
      <c r="E39" s="40">
        <v>0</v>
      </c>
      <c r="F39" s="30">
        <v>99.48</v>
      </c>
      <c r="G39" s="19">
        <v>97.43362831858407</v>
      </c>
      <c r="H39" s="15">
        <v>0</v>
      </c>
      <c r="I39" s="15"/>
      <c r="J39" s="15">
        <f t="shared" si="3"/>
        <v>196.91362831858407</v>
      </c>
    </row>
    <row r="40" spans="1:10" x14ac:dyDescent="0.3">
      <c r="A40">
        <f t="shared" si="2"/>
        <v>14</v>
      </c>
      <c r="B40" s="17" t="s">
        <v>463</v>
      </c>
      <c r="C40" s="17" t="s">
        <v>126</v>
      </c>
      <c r="D40" s="17" t="s">
        <v>71</v>
      </c>
      <c r="E40" s="15">
        <v>0</v>
      </c>
      <c r="F40" s="30">
        <v>98.7</v>
      </c>
      <c r="G40" s="15">
        <v>96.460176991150448</v>
      </c>
      <c r="H40" s="15">
        <v>0</v>
      </c>
      <c r="I40" s="15"/>
      <c r="J40" s="15">
        <f t="shared" si="3"/>
        <v>195.16017699115045</v>
      </c>
    </row>
    <row r="41" spans="1:10" x14ac:dyDescent="0.3">
      <c r="A41">
        <f t="shared" si="2"/>
        <v>15</v>
      </c>
      <c r="B41" s="14" t="s">
        <v>76</v>
      </c>
      <c r="C41" s="14" t="s">
        <v>77</v>
      </c>
      <c r="D41" s="14" t="s">
        <v>71</v>
      </c>
      <c r="E41" s="15">
        <v>96.631205673758856</v>
      </c>
      <c r="F41" s="15">
        <v>94.55</v>
      </c>
      <c r="G41" s="15">
        <v>0</v>
      </c>
      <c r="H41" s="15">
        <v>0</v>
      </c>
      <c r="I41" s="15"/>
      <c r="J41" s="15">
        <f t="shared" si="3"/>
        <v>191.18120567375885</v>
      </c>
    </row>
    <row r="42" spans="1:10" x14ac:dyDescent="0.3">
      <c r="A42">
        <f t="shared" si="2"/>
        <v>16</v>
      </c>
      <c r="B42" s="14" t="s">
        <v>89</v>
      </c>
      <c r="C42" s="14" t="s">
        <v>12</v>
      </c>
      <c r="D42" s="14" t="s">
        <v>71</v>
      </c>
      <c r="E42" s="15">
        <v>57.624113475177296</v>
      </c>
      <c r="F42" s="15">
        <v>89.18</v>
      </c>
      <c r="G42" s="15">
        <v>0</v>
      </c>
      <c r="H42" s="15">
        <v>0</v>
      </c>
      <c r="I42" s="15"/>
      <c r="J42" s="15">
        <f t="shared" si="3"/>
        <v>146.8041134751773</v>
      </c>
    </row>
    <row r="43" spans="1:10" x14ac:dyDescent="0.3">
      <c r="A43">
        <f t="shared" si="2"/>
        <v>17</v>
      </c>
      <c r="B43" s="18" t="s">
        <v>73</v>
      </c>
      <c r="C43" s="18" t="s">
        <v>14</v>
      </c>
      <c r="D43" s="20" t="s">
        <v>71</v>
      </c>
      <c r="E43" s="19">
        <v>99.556737588652467</v>
      </c>
      <c r="F43" s="30">
        <v>0</v>
      </c>
      <c r="G43" s="19">
        <v>0</v>
      </c>
      <c r="H43" s="15">
        <v>0</v>
      </c>
      <c r="I43" s="15"/>
      <c r="J43" s="15">
        <f t="shared" si="3"/>
        <v>99.556737588652467</v>
      </c>
    </row>
    <row r="44" spans="1:10" x14ac:dyDescent="0.3">
      <c r="A44">
        <f t="shared" si="2"/>
        <v>18</v>
      </c>
      <c r="B44" s="18" t="s">
        <v>72</v>
      </c>
      <c r="C44" s="18" t="s">
        <v>12</v>
      </c>
      <c r="D44" s="20" t="s">
        <v>71</v>
      </c>
      <c r="E44" s="19">
        <v>99.468085106382972</v>
      </c>
      <c r="F44" s="15">
        <v>0</v>
      </c>
      <c r="G44" s="15">
        <v>0</v>
      </c>
      <c r="H44" s="15">
        <v>0</v>
      </c>
      <c r="I44" s="15"/>
      <c r="J44" s="15">
        <f t="shared" si="3"/>
        <v>99.468085106382972</v>
      </c>
    </row>
    <row r="45" spans="1:10" x14ac:dyDescent="0.3">
      <c r="A45">
        <f t="shared" si="2"/>
        <v>19</v>
      </c>
      <c r="B45" s="43" t="s">
        <v>694</v>
      </c>
      <c r="C45" s="43" t="s">
        <v>46</v>
      </c>
      <c r="D45" s="43" t="s">
        <v>71</v>
      </c>
      <c r="E45" s="15">
        <v>0</v>
      </c>
      <c r="F45" s="15">
        <v>0</v>
      </c>
      <c r="G45" s="19">
        <v>98.849557522123888</v>
      </c>
      <c r="H45" s="15">
        <v>0</v>
      </c>
      <c r="J45" s="15">
        <f t="shared" si="3"/>
        <v>98.849557522123888</v>
      </c>
    </row>
    <row r="46" spans="1:10" x14ac:dyDescent="0.3">
      <c r="A46">
        <f t="shared" si="2"/>
        <v>20</v>
      </c>
      <c r="B46" s="14" t="s">
        <v>701</v>
      </c>
      <c r="C46" s="14" t="s">
        <v>12</v>
      </c>
      <c r="D46" s="14" t="s">
        <v>71</v>
      </c>
      <c r="E46" s="15">
        <v>0</v>
      </c>
      <c r="F46" s="15">
        <v>0</v>
      </c>
      <c r="G46" s="15">
        <v>0</v>
      </c>
      <c r="H46" s="15">
        <v>97.91</v>
      </c>
      <c r="I46" s="15"/>
      <c r="J46" s="15">
        <f t="shared" si="3"/>
        <v>97.91</v>
      </c>
    </row>
    <row r="47" spans="1:10" x14ac:dyDescent="0.3">
      <c r="A47">
        <f t="shared" si="2"/>
        <v>21</v>
      </c>
      <c r="B47" s="18" t="s">
        <v>461</v>
      </c>
      <c r="C47" s="18" t="s">
        <v>59</v>
      </c>
      <c r="D47" s="18" t="s">
        <v>71</v>
      </c>
      <c r="E47" s="40">
        <v>0</v>
      </c>
      <c r="F47" s="30">
        <v>96.97</v>
      </c>
      <c r="G47" s="15">
        <v>0</v>
      </c>
      <c r="H47" s="15">
        <v>0</v>
      </c>
      <c r="I47" s="15"/>
      <c r="J47" s="15">
        <f t="shared" si="3"/>
        <v>96.97</v>
      </c>
    </row>
    <row r="48" spans="1:10" x14ac:dyDescent="0.3">
      <c r="A48">
        <f t="shared" si="2"/>
        <v>22</v>
      </c>
      <c r="B48" s="42" t="s">
        <v>125</v>
      </c>
      <c r="C48" s="42" t="s">
        <v>126</v>
      </c>
      <c r="D48" s="42" t="s">
        <v>71</v>
      </c>
      <c r="E48" s="15">
        <v>0</v>
      </c>
      <c r="F48" s="15">
        <v>0</v>
      </c>
      <c r="G48" s="15">
        <v>95.044247787610615</v>
      </c>
      <c r="H48" s="15">
        <v>0</v>
      </c>
      <c r="J48" s="15">
        <f t="shared" si="3"/>
        <v>95.044247787610615</v>
      </c>
    </row>
    <row r="49" spans="1:10" x14ac:dyDescent="0.3">
      <c r="A49">
        <f t="shared" si="2"/>
        <v>23</v>
      </c>
      <c r="B49" s="32" t="s">
        <v>78</v>
      </c>
      <c r="C49" s="32" t="s">
        <v>4</v>
      </c>
      <c r="D49" s="32" t="s">
        <v>71</v>
      </c>
      <c r="E49" s="15">
        <v>94.769503546099287</v>
      </c>
      <c r="F49" s="15">
        <v>0</v>
      </c>
      <c r="G49" s="15">
        <v>0</v>
      </c>
      <c r="H49" s="15">
        <v>0</v>
      </c>
      <c r="I49" s="15"/>
      <c r="J49" s="15">
        <f t="shared" si="3"/>
        <v>94.769503546099287</v>
      </c>
    </row>
    <row r="50" spans="1:10" x14ac:dyDescent="0.3">
      <c r="A50">
        <f t="shared" si="2"/>
        <v>24</v>
      </c>
      <c r="B50" s="14" t="s">
        <v>94</v>
      </c>
      <c r="C50" s="14" t="s">
        <v>95</v>
      </c>
      <c r="D50" s="14" t="s">
        <v>71</v>
      </c>
      <c r="E50" s="15">
        <v>0</v>
      </c>
      <c r="F50" s="15">
        <v>0</v>
      </c>
      <c r="G50" s="15">
        <v>0</v>
      </c>
      <c r="H50" s="15">
        <v>94.41</v>
      </c>
      <c r="I50" s="15"/>
      <c r="J50" s="15">
        <f t="shared" si="3"/>
        <v>94.41</v>
      </c>
    </row>
    <row r="51" spans="1:10" x14ac:dyDescent="0.3">
      <c r="A51">
        <f t="shared" si="2"/>
        <v>25</v>
      </c>
      <c r="B51" s="14" t="s">
        <v>80</v>
      </c>
      <c r="C51" s="14" t="s">
        <v>46</v>
      </c>
      <c r="D51" s="14" t="s">
        <v>71</v>
      </c>
      <c r="E51" s="15">
        <v>94.237588652482259</v>
      </c>
      <c r="F51" s="15">
        <v>0</v>
      </c>
      <c r="G51" s="15">
        <v>0</v>
      </c>
      <c r="H51" s="15">
        <v>0</v>
      </c>
      <c r="I51" s="15"/>
      <c r="J51" s="15">
        <f t="shared" si="3"/>
        <v>94.237588652482259</v>
      </c>
    </row>
    <row r="52" spans="1:10" x14ac:dyDescent="0.3">
      <c r="A52">
        <f t="shared" si="2"/>
        <v>26</v>
      </c>
      <c r="B52" s="14" t="s">
        <v>81</v>
      </c>
      <c r="C52" s="14" t="s">
        <v>12</v>
      </c>
      <c r="D52" s="14" t="s">
        <v>71</v>
      </c>
      <c r="E52" s="15">
        <v>92.641843971631189</v>
      </c>
      <c r="F52" s="15">
        <v>0</v>
      </c>
      <c r="G52" s="15">
        <v>0</v>
      </c>
      <c r="H52" s="15">
        <v>0</v>
      </c>
      <c r="I52" s="15"/>
      <c r="J52" s="15">
        <f t="shared" si="3"/>
        <v>92.641843971631189</v>
      </c>
    </row>
    <row r="53" spans="1:10" x14ac:dyDescent="0.3">
      <c r="A53">
        <f t="shared" si="2"/>
        <v>27</v>
      </c>
      <c r="B53" s="14" t="s">
        <v>121</v>
      </c>
      <c r="C53" s="14" t="s">
        <v>3</v>
      </c>
      <c r="D53" s="14" t="s">
        <v>71</v>
      </c>
      <c r="E53" s="15">
        <v>0</v>
      </c>
      <c r="F53" s="15">
        <v>0</v>
      </c>
      <c r="G53" s="15">
        <v>0</v>
      </c>
      <c r="H53" s="15">
        <v>92.33</v>
      </c>
      <c r="I53" s="15"/>
      <c r="J53" s="15">
        <f t="shared" si="3"/>
        <v>92.33</v>
      </c>
    </row>
    <row r="54" spans="1:10" x14ac:dyDescent="0.3">
      <c r="A54">
        <f t="shared" si="2"/>
        <v>28</v>
      </c>
      <c r="B54" s="14" t="s">
        <v>83</v>
      </c>
      <c r="C54" s="14" t="s">
        <v>27</v>
      </c>
      <c r="D54" s="14" t="s">
        <v>71</v>
      </c>
      <c r="E54" s="15">
        <v>91.489361702127638</v>
      </c>
      <c r="F54" s="15">
        <v>0</v>
      </c>
      <c r="G54" s="15">
        <v>0</v>
      </c>
      <c r="H54" s="15">
        <v>0</v>
      </c>
      <c r="I54" s="15"/>
      <c r="J54" s="15">
        <f t="shared" si="3"/>
        <v>91.489361702127638</v>
      </c>
    </row>
    <row r="55" spans="1:10" x14ac:dyDescent="0.3">
      <c r="A55">
        <f t="shared" si="2"/>
        <v>29</v>
      </c>
      <c r="B55" s="14" t="s">
        <v>84</v>
      </c>
      <c r="C55" s="14" t="s">
        <v>3</v>
      </c>
      <c r="D55" s="14" t="s">
        <v>71</v>
      </c>
      <c r="E55" s="15">
        <v>89.095744680851055</v>
      </c>
      <c r="F55" s="15">
        <v>0</v>
      </c>
      <c r="G55" s="15">
        <v>0</v>
      </c>
      <c r="H55" s="15">
        <v>0</v>
      </c>
      <c r="I55" s="15"/>
      <c r="J55" s="15">
        <f t="shared" si="3"/>
        <v>89.095744680851055</v>
      </c>
    </row>
    <row r="56" spans="1:10" x14ac:dyDescent="0.3">
      <c r="A56">
        <f t="shared" si="2"/>
        <v>30</v>
      </c>
      <c r="B56" s="17" t="s">
        <v>464</v>
      </c>
      <c r="C56" s="17" t="s">
        <v>61</v>
      </c>
      <c r="D56" s="17" t="s">
        <v>71</v>
      </c>
      <c r="E56" s="15">
        <v>0</v>
      </c>
      <c r="F56" s="22">
        <v>88.92</v>
      </c>
      <c r="G56" s="15">
        <v>0</v>
      </c>
      <c r="H56" s="15">
        <v>0</v>
      </c>
      <c r="I56" s="15"/>
      <c r="J56" s="15">
        <f t="shared" si="3"/>
        <v>88.92</v>
      </c>
    </row>
    <row r="57" spans="1:10" x14ac:dyDescent="0.3">
      <c r="A57">
        <f t="shared" si="2"/>
        <v>31</v>
      </c>
      <c r="B57" s="14" t="s">
        <v>99</v>
      </c>
      <c r="C57" s="14" t="s">
        <v>14</v>
      </c>
      <c r="D57" s="14" t="s">
        <v>71</v>
      </c>
      <c r="E57" s="15">
        <v>0</v>
      </c>
      <c r="F57" s="15">
        <v>0</v>
      </c>
      <c r="G57" s="15">
        <v>48.053097345132741</v>
      </c>
      <c r="H57" s="15">
        <v>0</v>
      </c>
      <c r="I57" s="15"/>
      <c r="J57" s="15">
        <f t="shared" si="3"/>
        <v>48.053097345132741</v>
      </c>
    </row>
    <row r="58" spans="1:10" x14ac:dyDescent="0.3">
      <c r="A58">
        <f t="shared" si="2"/>
        <v>32</v>
      </c>
      <c r="B58" s="18" t="s">
        <v>70</v>
      </c>
      <c r="C58" s="18" t="s">
        <v>3</v>
      </c>
      <c r="D58" s="20" t="s">
        <v>71</v>
      </c>
      <c r="E58" s="19">
        <v>0</v>
      </c>
      <c r="F58" s="15">
        <v>0</v>
      </c>
      <c r="G58" s="15">
        <v>0</v>
      </c>
      <c r="H58" s="15">
        <v>0</v>
      </c>
      <c r="I58" s="15"/>
      <c r="J58" s="15">
        <f t="shared" si="3"/>
        <v>0</v>
      </c>
    </row>
    <row r="59" spans="1:10" x14ac:dyDescent="0.3">
      <c r="A59">
        <f t="shared" si="2"/>
        <v>32</v>
      </c>
      <c r="B59" s="14" t="s">
        <v>460</v>
      </c>
      <c r="C59" s="14" t="s">
        <v>61</v>
      </c>
      <c r="D59" s="14" t="s">
        <v>71</v>
      </c>
      <c r="E59" s="15">
        <v>0</v>
      </c>
      <c r="F59" s="15">
        <v>0</v>
      </c>
      <c r="G59" s="15">
        <v>0</v>
      </c>
      <c r="H59" s="15">
        <v>0</v>
      </c>
      <c r="I59" s="15"/>
      <c r="J59" s="15">
        <f t="shared" si="3"/>
        <v>0</v>
      </c>
    </row>
    <row r="60" spans="1:10" x14ac:dyDescent="0.3">
      <c r="A60">
        <f t="shared" si="2"/>
        <v>32</v>
      </c>
      <c r="B60" s="14" t="s">
        <v>96</v>
      </c>
      <c r="C60" s="14" t="s">
        <v>2</v>
      </c>
      <c r="D60" s="14" t="s">
        <v>71</v>
      </c>
      <c r="E60" s="15">
        <v>0</v>
      </c>
      <c r="F60" s="15">
        <v>0</v>
      </c>
      <c r="G60" s="15">
        <v>0</v>
      </c>
      <c r="H60" s="15">
        <v>0</v>
      </c>
      <c r="I60" s="15"/>
      <c r="J60" s="15">
        <f t="shared" si="3"/>
        <v>0</v>
      </c>
    </row>
    <row r="61" spans="1:10" x14ac:dyDescent="0.3">
      <c r="A61">
        <f t="shared" si="2"/>
        <v>32</v>
      </c>
      <c r="B61" s="43" t="s">
        <v>693</v>
      </c>
      <c r="C61" s="43" t="s">
        <v>2</v>
      </c>
      <c r="D61" s="43" t="s">
        <v>71</v>
      </c>
      <c r="E61" s="15">
        <v>0</v>
      </c>
      <c r="F61" s="15">
        <v>0</v>
      </c>
      <c r="G61" s="19">
        <v>0</v>
      </c>
      <c r="H61" s="15">
        <v>0</v>
      </c>
      <c r="J61" s="15">
        <f t="shared" si="3"/>
        <v>0</v>
      </c>
    </row>
    <row r="62" spans="1:10" x14ac:dyDescent="0.3">
      <c r="A62">
        <f t="shared" si="2"/>
        <v>32</v>
      </c>
      <c r="B62" s="14" t="s">
        <v>97</v>
      </c>
      <c r="C62" s="14" t="s">
        <v>98</v>
      </c>
      <c r="D62" s="14" t="s">
        <v>71</v>
      </c>
      <c r="E62" s="15">
        <v>0</v>
      </c>
      <c r="F62" s="31">
        <v>0</v>
      </c>
      <c r="G62" s="15">
        <v>0</v>
      </c>
      <c r="H62" s="15">
        <v>0</v>
      </c>
      <c r="I62" s="15"/>
      <c r="J62" s="15">
        <f t="shared" si="3"/>
        <v>0</v>
      </c>
    </row>
    <row r="63" spans="1:10" x14ac:dyDescent="0.3">
      <c r="A63">
        <f t="shared" si="2"/>
        <v>32</v>
      </c>
      <c r="B63" s="14" t="s">
        <v>92</v>
      </c>
      <c r="C63" s="14" t="s">
        <v>2</v>
      </c>
      <c r="D63" s="14" t="s">
        <v>71</v>
      </c>
      <c r="E63" s="15">
        <v>0</v>
      </c>
      <c r="F63" s="15">
        <v>0</v>
      </c>
      <c r="G63" s="15">
        <v>0</v>
      </c>
      <c r="H63" s="15">
        <v>0</v>
      </c>
      <c r="I63" s="15"/>
      <c r="J63" s="15">
        <f t="shared" si="3"/>
        <v>0</v>
      </c>
    </row>
    <row r="64" spans="1:10" x14ac:dyDescent="0.3">
      <c r="A64">
        <f t="shared" si="2"/>
        <v>32</v>
      </c>
      <c r="B64" s="23" t="s">
        <v>106</v>
      </c>
      <c r="C64" s="23" t="s">
        <v>35</v>
      </c>
      <c r="D64" s="23" t="s">
        <v>71</v>
      </c>
      <c r="E64" s="15">
        <v>0</v>
      </c>
      <c r="F64" s="15">
        <v>0</v>
      </c>
      <c r="G64" s="15">
        <v>0</v>
      </c>
      <c r="H64" s="44">
        <v>0</v>
      </c>
      <c r="J64" s="15">
        <f t="shared" si="3"/>
        <v>0</v>
      </c>
    </row>
    <row r="65" spans="1:10" x14ac:dyDescent="0.3">
      <c r="A65">
        <f t="shared" si="2"/>
        <v>32</v>
      </c>
      <c r="B65" s="23" t="s">
        <v>702</v>
      </c>
      <c r="C65" s="23" t="s">
        <v>12</v>
      </c>
      <c r="D65" s="23" t="s">
        <v>71</v>
      </c>
      <c r="E65" s="15">
        <v>0</v>
      </c>
      <c r="F65" s="15">
        <v>0</v>
      </c>
      <c r="G65" s="15">
        <v>0</v>
      </c>
      <c r="H65" s="44">
        <v>0</v>
      </c>
      <c r="J65" s="15">
        <f t="shared" si="3"/>
        <v>0</v>
      </c>
    </row>
  </sheetData>
  <sortState xmlns:xlrd2="http://schemas.microsoft.com/office/spreadsheetml/2017/richdata2" ref="A27:J65">
    <sortCondition ref="A27:A6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8594A-ED46-4D24-972D-74BB761014F7}">
  <sheetPr codeName="Sheet8"/>
  <dimension ref="A1:J63"/>
  <sheetViews>
    <sheetView topLeftCell="A26" zoomScale="66" workbookViewId="0">
      <selection activeCell="B50" sqref="B50:C52"/>
    </sheetView>
  </sheetViews>
  <sheetFormatPr defaultRowHeight="14.4" x14ac:dyDescent="0.3"/>
  <cols>
    <col min="2" max="2" width="25.33203125" bestFit="1" customWidth="1"/>
    <col min="3" max="3" width="14.5546875" bestFit="1" customWidth="1"/>
    <col min="4" max="4" width="16.88671875" bestFit="1" customWidth="1"/>
    <col min="5" max="6" width="9.88671875" bestFit="1" customWidth="1"/>
    <col min="7" max="7" width="10.109375" bestFit="1" customWidth="1"/>
    <col min="8" max="8" width="11.33203125" bestFit="1" customWidth="1"/>
    <col min="9" max="9" width="12.5546875" bestFit="1" customWidth="1"/>
    <col min="10" max="10" width="9.88671875" bestFit="1" customWidth="1"/>
  </cols>
  <sheetData>
    <row r="1" spans="1:10" x14ac:dyDescent="0.3">
      <c r="A1" s="1"/>
      <c r="B1" s="1"/>
      <c r="C1" s="1"/>
      <c r="D1" s="2"/>
      <c r="E1" s="10" t="s">
        <v>1</v>
      </c>
      <c r="F1" s="10" t="s">
        <v>4</v>
      </c>
      <c r="G1" s="10" t="s">
        <v>2</v>
      </c>
      <c r="H1" s="11" t="s">
        <v>12</v>
      </c>
      <c r="I1" s="10" t="s">
        <v>3</v>
      </c>
      <c r="J1" s="9" t="s">
        <v>6</v>
      </c>
    </row>
    <row r="2" spans="1:10" x14ac:dyDescent="0.3">
      <c r="A2" s="16" t="s">
        <v>379</v>
      </c>
      <c r="B2" s="3" t="s">
        <v>7</v>
      </c>
      <c r="C2" s="4" t="s">
        <v>8</v>
      </c>
      <c r="D2" s="4" t="s">
        <v>0</v>
      </c>
      <c r="E2" s="5" t="s">
        <v>9</v>
      </c>
      <c r="F2" s="6" t="s">
        <v>9</v>
      </c>
      <c r="G2" s="7" t="s">
        <v>9</v>
      </c>
      <c r="H2" s="7" t="s">
        <v>9</v>
      </c>
      <c r="I2" s="8" t="s">
        <v>9</v>
      </c>
      <c r="J2" s="8" t="s">
        <v>9</v>
      </c>
    </row>
    <row r="3" spans="1:10" x14ac:dyDescent="0.3">
      <c r="A3">
        <f t="shared" ref="A3:A13" si="0">RANK(J3,$J$3:$J$13)</f>
        <v>1</v>
      </c>
      <c r="B3" s="17" t="s">
        <v>18</v>
      </c>
      <c r="C3" s="17" t="s">
        <v>19</v>
      </c>
      <c r="D3" s="14" t="s">
        <v>15</v>
      </c>
      <c r="E3" s="26">
        <v>96.104928457869633</v>
      </c>
      <c r="F3" s="26">
        <v>97.13</v>
      </c>
      <c r="G3" s="15">
        <v>100</v>
      </c>
      <c r="H3" s="26">
        <v>100</v>
      </c>
      <c r="I3" s="26"/>
      <c r="J3" s="26">
        <f t="shared" ref="J3:J13" si="1">LARGE(E3:I3,1)+LARGE(E3:I3,2)+LARGE(E3:I3,3)</f>
        <v>297.13</v>
      </c>
    </row>
    <row r="4" spans="1:10" x14ac:dyDescent="0.3">
      <c r="A4">
        <f t="shared" si="0"/>
        <v>2</v>
      </c>
      <c r="B4" s="17" t="s">
        <v>20</v>
      </c>
      <c r="C4" s="17" t="s">
        <v>19</v>
      </c>
      <c r="D4" s="14" t="s">
        <v>15</v>
      </c>
      <c r="E4" s="26">
        <v>94.038155802861695</v>
      </c>
      <c r="F4" s="26">
        <v>100</v>
      </c>
      <c r="G4" s="26">
        <v>0</v>
      </c>
      <c r="H4" s="26">
        <v>94.79</v>
      </c>
      <c r="I4" s="26"/>
      <c r="J4" s="26">
        <f t="shared" si="1"/>
        <v>288.82815580286172</v>
      </c>
    </row>
    <row r="5" spans="1:10" x14ac:dyDescent="0.3">
      <c r="A5">
        <f t="shared" si="0"/>
        <v>3</v>
      </c>
      <c r="B5" s="17" t="s">
        <v>17</v>
      </c>
      <c r="C5" s="17" t="s">
        <v>5</v>
      </c>
      <c r="D5" s="14" t="s">
        <v>15</v>
      </c>
      <c r="E5" s="26">
        <v>95.151033386327498</v>
      </c>
      <c r="F5" s="26">
        <v>97.79</v>
      </c>
      <c r="G5" s="15">
        <v>88.801879404855129</v>
      </c>
      <c r="H5" s="26">
        <v>69.33</v>
      </c>
      <c r="I5" s="26"/>
      <c r="J5" s="26">
        <f t="shared" si="1"/>
        <v>281.74291279118262</v>
      </c>
    </row>
    <row r="6" spans="1:10" x14ac:dyDescent="0.3">
      <c r="A6">
        <f t="shared" si="0"/>
        <v>4</v>
      </c>
      <c r="B6" s="17" t="s">
        <v>22</v>
      </c>
      <c r="C6" s="17" t="s">
        <v>3</v>
      </c>
      <c r="D6" s="14" t="s">
        <v>15</v>
      </c>
      <c r="E6" s="26">
        <v>89.904610492845791</v>
      </c>
      <c r="F6" s="26">
        <v>92.62</v>
      </c>
      <c r="G6" s="15">
        <v>90.289741581832416</v>
      </c>
      <c r="H6" s="26">
        <v>90.5</v>
      </c>
      <c r="I6" s="26"/>
      <c r="J6" s="26">
        <f t="shared" si="1"/>
        <v>273.40974158183241</v>
      </c>
    </row>
    <row r="7" spans="1:10" x14ac:dyDescent="0.3">
      <c r="A7">
        <f t="shared" si="0"/>
        <v>5</v>
      </c>
      <c r="B7" s="17" t="s">
        <v>23</v>
      </c>
      <c r="C7" s="17" t="s">
        <v>19</v>
      </c>
      <c r="D7" s="14" t="s">
        <v>15</v>
      </c>
      <c r="E7" s="26">
        <v>88.155802861685217</v>
      </c>
      <c r="F7" s="26">
        <v>84.84</v>
      </c>
      <c r="G7" s="26">
        <v>0</v>
      </c>
      <c r="H7" s="26">
        <v>96.36</v>
      </c>
      <c r="I7" s="26"/>
      <c r="J7" s="26">
        <f t="shared" si="1"/>
        <v>269.35580286168522</v>
      </c>
    </row>
    <row r="8" spans="1:10" x14ac:dyDescent="0.3">
      <c r="A8">
        <f t="shared" si="0"/>
        <v>6</v>
      </c>
      <c r="B8" s="17" t="s">
        <v>24</v>
      </c>
      <c r="C8" s="17" t="s">
        <v>4</v>
      </c>
      <c r="D8" s="14" t="s">
        <v>15</v>
      </c>
      <c r="E8" s="26">
        <v>83.22734499205086</v>
      </c>
      <c r="F8" s="26">
        <v>91.72</v>
      </c>
      <c r="G8" s="26">
        <v>0</v>
      </c>
      <c r="H8" s="26">
        <v>84.96</v>
      </c>
      <c r="I8" s="26"/>
      <c r="J8" s="26">
        <f t="shared" si="1"/>
        <v>259.90734499205087</v>
      </c>
    </row>
    <row r="9" spans="1:10" x14ac:dyDescent="0.3">
      <c r="A9">
        <f t="shared" si="0"/>
        <v>7</v>
      </c>
      <c r="B9" s="17" t="s">
        <v>21</v>
      </c>
      <c r="C9" s="17" t="s">
        <v>4</v>
      </c>
      <c r="D9" s="14" t="s">
        <v>15</v>
      </c>
      <c r="E9" s="26">
        <v>0</v>
      </c>
      <c r="F9" s="26">
        <v>95.98</v>
      </c>
      <c r="G9" s="15">
        <v>83.085356303837116</v>
      </c>
      <c r="H9" s="26">
        <v>67.260000000000005</v>
      </c>
      <c r="I9" s="26"/>
      <c r="J9" s="26">
        <f t="shared" si="1"/>
        <v>246.32535630383711</v>
      </c>
    </row>
    <row r="10" spans="1:10" x14ac:dyDescent="0.3">
      <c r="A10">
        <f t="shared" si="0"/>
        <v>8</v>
      </c>
      <c r="B10" s="17" t="s">
        <v>25</v>
      </c>
      <c r="C10" s="17" t="s">
        <v>12</v>
      </c>
      <c r="D10" s="14" t="s">
        <v>15</v>
      </c>
      <c r="E10" s="26">
        <v>54.610492845786958</v>
      </c>
      <c r="F10" s="26">
        <v>48.93</v>
      </c>
      <c r="G10" s="15">
        <v>97.259201252936563</v>
      </c>
      <c r="H10" s="26">
        <v>93.27</v>
      </c>
      <c r="I10" s="26"/>
      <c r="J10" s="26">
        <f t="shared" si="1"/>
        <v>245.13969409872351</v>
      </c>
    </row>
    <row r="11" spans="1:10" x14ac:dyDescent="0.3">
      <c r="A11">
        <f t="shared" si="0"/>
        <v>9</v>
      </c>
      <c r="B11" s="17" t="s">
        <v>13</v>
      </c>
      <c r="C11" s="17" t="s">
        <v>14</v>
      </c>
      <c r="D11" s="14" t="s">
        <v>15</v>
      </c>
      <c r="E11" s="26">
        <v>100</v>
      </c>
      <c r="F11" s="26">
        <v>0</v>
      </c>
      <c r="G11" s="15">
        <v>43.696162881754113</v>
      </c>
      <c r="H11" s="26">
        <v>97.45</v>
      </c>
      <c r="I11" s="26"/>
      <c r="J11" s="26">
        <f t="shared" si="1"/>
        <v>241.14616288175409</v>
      </c>
    </row>
    <row r="12" spans="1:10" x14ac:dyDescent="0.3">
      <c r="A12">
        <f t="shared" si="0"/>
        <v>10</v>
      </c>
      <c r="B12" s="42" t="s">
        <v>619</v>
      </c>
      <c r="C12" s="42" t="s">
        <v>14</v>
      </c>
      <c r="D12" s="42" t="s">
        <v>15</v>
      </c>
      <c r="E12" s="26">
        <v>0</v>
      </c>
      <c r="F12" s="26">
        <v>0</v>
      </c>
      <c r="G12" s="15">
        <v>66.953797963978076</v>
      </c>
      <c r="H12" s="26">
        <v>0</v>
      </c>
      <c r="I12" s="26"/>
      <c r="J12" s="26">
        <f t="shared" si="1"/>
        <v>66.953797963978076</v>
      </c>
    </row>
    <row r="13" spans="1:10" x14ac:dyDescent="0.3">
      <c r="A13">
        <f t="shared" si="0"/>
        <v>11</v>
      </c>
      <c r="B13" s="17" t="s">
        <v>16</v>
      </c>
      <c r="C13" s="17" t="s">
        <v>2</v>
      </c>
      <c r="D13" s="14" t="s">
        <v>15</v>
      </c>
      <c r="E13" s="26">
        <v>0</v>
      </c>
      <c r="F13" s="26">
        <v>0</v>
      </c>
      <c r="G13" s="26">
        <v>0</v>
      </c>
      <c r="H13" s="26">
        <v>0</v>
      </c>
      <c r="I13" s="26"/>
      <c r="J13" s="26">
        <f t="shared" si="1"/>
        <v>0</v>
      </c>
    </row>
    <row r="14" spans="1:10" x14ac:dyDescent="0.3">
      <c r="E14" s="26"/>
      <c r="F14" s="26"/>
      <c r="G14" s="26"/>
      <c r="H14" s="26"/>
      <c r="I14" s="26"/>
      <c r="J14" s="26"/>
    </row>
    <row r="15" spans="1:10" x14ac:dyDescent="0.3">
      <c r="E15" s="26"/>
      <c r="F15" s="26"/>
      <c r="G15" s="26"/>
      <c r="H15" s="26"/>
      <c r="I15" s="26"/>
      <c r="J15" s="26"/>
    </row>
    <row r="16" spans="1:10" x14ac:dyDescent="0.3">
      <c r="A16" s="1"/>
      <c r="B16" s="1"/>
      <c r="C16" s="1"/>
      <c r="D16" s="2"/>
      <c r="E16" s="10" t="s">
        <v>1</v>
      </c>
      <c r="F16" s="10" t="s">
        <v>4</v>
      </c>
      <c r="G16" s="10" t="s">
        <v>2</v>
      </c>
      <c r="H16" s="11" t="s">
        <v>12</v>
      </c>
      <c r="I16" s="10" t="s">
        <v>3</v>
      </c>
      <c r="J16" s="9" t="s">
        <v>6</v>
      </c>
    </row>
    <row r="17" spans="1:10" x14ac:dyDescent="0.3">
      <c r="A17" s="16" t="s">
        <v>379</v>
      </c>
      <c r="B17" s="3" t="s">
        <v>7</v>
      </c>
      <c r="C17" s="4" t="s">
        <v>8</v>
      </c>
      <c r="D17" s="4" t="s">
        <v>0</v>
      </c>
      <c r="E17" s="5" t="s">
        <v>9</v>
      </c>
      <c r="F17" s="6" t="s">
        <v>9</v>
      </c>
      <c r="G17" s="7" t="s">
        <v>9</v>
      </c>
      <c r="H17" s="7" t="s">
        <v>9</v>
      </c>
      <c r="I17" s="8" t="s">
        <v>9</v>
      </c>
      <c r="J17" s="8" t="s">
        <v>9</v>
      </c>
    </row>
    <row r="18" spans="1:10" x14ac:dyDescent="0.3">
      <c r="A18">
        <f t="shared" ref="A18:A28" si="2">RANK(J18,$J$18:$J$29)</f>
        <v>1</v>
      </c>
      <c r="B18" s="17" t="s">
        <v>26</v>
      </c>
      <c r="C18" s="17" t="s">
        <v>27</v>
      </c>
      <c r="D18" s="14" t="s">
        <v>28</v>
      </c>
      <c r="E18" s="26">
        <v>100</v>
      </c>
      <c r="F18" s="26">
        <v>100</v>
      </c>
      <c r="G18" s="26">
        <v>0</v>
      </c>
      <c r="H18" s="26">
        <v>100</v>
      </c>
      <c r="I18" s="26"/>
      <c r="J18" s="26">
        <f t="shared" ref="J18:J29" si="3">LARGE(E18:I18,1)+LARGE(E18:I18,2)+LARGE(E18:I18,3)</f>
        <v>300</v>
      </c>
    </row>
    <row r="19" spans="1:10" x14ac:dyDescent="0.3">
      <c r="A19">
        <f t="shared" si="2"/>
        <v>2</v>
      </c>
      <c r="B19" s="17" t="s">
        <v>42</v>
      </c>
      <c r="C19" s="17" t="s">
        <v>12</v>
      </c>
      <c r="D19" s="17" t="s">
        <v>28</v>
      </c>
      <c r="E19" s="26">
        <v>0</v>
      </c>
      <c r="F19" s="26">
        <v>96.18</v>
      </c>
      <c r="G19" s="15">
        <v>98.066075745366646</v>
      </c>
      <c r="H19" s="26">
        <v>99.67</v>
      </c>
      <c r="I19" s="26"/>
      <c r="J19" s="26">
        <f t="shared" si="3"/>
        <v>293.91607574536664</v>
      </c>
    </row>
    <row r="20" spans="1:10" x14ac:dyDescent="0.3">
      <c r="A20">
        <f t="shared" si="2"/>
        <v>3</v>
      </c>
      <c r="B20" s="17" t="s">
        <v>30</v>
      </c>
      <c r="C20" s="17" t="s">
        <v>12</v>
      </c>
      <c r="D20" s="14" t="s">
        <v>28</v>
      </c>
      <c r="E20" s="26">
        <v>96.263200649878172</v>
      </c>
      <c r="F20" s="26">
        <v>94.06</v>
      </c>
      <c r="G20" s="15">
        <v>95.326349717969393</v>
      </c>
      <c r="H20" s="26">
        <v>89.08</v>
      </c>
      <c r="I20" s="26"/>
      <c r="J20" s="26">
        <f t="shared" si="3"/>
        <v>285.64955036784755</v>
      </c>
    </row>
    <row r="21" spans="1:10" x14ac:dyDescent="0.3">
      <c r="A21">
        <f t="shared" si="2"/>
        <v>4</v>
      </c>
      <c r="B21" s="17" t="s">
        <v>29</v>
      </c>
      <c r="C21" s="17" t="s">
        <v>4</v>
      </c>
      <c r="D21" s="14" t="s">
        <v>28</v>
      </c>
      <c r="E21" s="26">
        <v>95.125913891145416</v>
      </c>
      <c r="F21" s="26">
        <v>77.3</v>
      </c>
      <c r="G21" s="15">
        <v>100</v>
      </c>
      <c r="H21" s="26">
        <v>0</v>
      </c>
      <c r="I21" s="26"/>
      <c r="J21" s="26">
        <f t="shared" si="3"/>
        <v>272.4259138911454</v>
      </c>
    </row>
    <row r="22" spans="1:10" x14ac:dyDescent="0.3">
      <c r="A22">
        <f t="shared" si="2"/>
        <v>5</v>
      </c>
      <c r="B22" s="14" t="s">
        <v>34</v>
      </c>
      <c r="C22" s="14" t="s">
        <v>35</v>
      </c>
      <c r="D22" s="14" t="s">
        <v>28</v>
      </c>
      <c r="E22" s="26">
        <v>74.24857839155159</v>
      </c>
      <c r="F22" s="26">
        <v>81.77</v>
      </c>
      <c r="G22" s="15">
        <v>82.352941176470594</v>
      </c>
      <c r="H22" s="26">
        <v>0</v>
      </c>
      <c r="I22" s="26"/>
      <c r="J22" s="26">
        <f t="shared" si="3"/>
        <v>238.37151956802217</v>
      </c>
    </row>
    <row r="23" spans="1:10" x14ac:dyDescent="0.3">
      <c r="A23">
        <f t="shared" si="2"/>
        <v>6</v>
      </c>
      <c r="B23" s="14" t="s">
        <v>452</v>
      </c>
      <c r="C23" s="14" t="s">
        <v>14</v>
      </c>
      <c r="D23" s="14" t="s">
        <v>28</v>
      </c>
      <c r="E23" s="26">
        <v>91.632818846466293</v>
      </c>
      <c r="F23" s="26">
        <v>0</v>
      </c>
      <c r="G23" s="15">
        <v>99.033037872683323</v>
      </c>
      <c r="H23" s="26">
        <v>43.58</v>
      </c>
      <c r="I23" s="26"/>
      <c r="J23" s="26">
        <f t="shared" si="3"/>
        <v>234.24585671914963</v>
      </c>
    </row>
    <row r="24" spans="1:10" x14ac:dyDescent="0.3">
      <c r="A24">
        <f t="shared" si="2"/>
        <v>7</v>
      </c>
      <c r="B24" s="14" t="s">
        <v>33</v>
      </c>
      <c r="C24" s="14" t="s">
        <v>3</v>
      </c>
      <c r="D24" s="14" t="s">
        <v>28</v>
      </c>
      <c r="E24" s="26">
        <v>84.402924451665314</v>
      </c>
      <c r="F24" s="26">
        <v>58.58</v>
      </c>
      <c r="G24" s="15">
        <v>89.766317485898469</v>
      </c>
      <c r="H24" s="26">
        <v>0</v>
      </c>
      <c r="I24" s="26"/>
      <c r="J24" s="26">
        <f t="shared" si="3"/>
        <v>232.7492419375638</v>
      </c>
    </row>
    <row r="25" spans="1:10" x14ac:dyDescent="0.3">
      <c r="A25">
        <f t="shared" si="2"/>
        <v>8</v>
      </c>
      <c r="B25" s="14" t="s">
        <v>32</v>
      </c>
      <c r="C25" s="14" t="s">
        <v>19</v>
      </c>
      <c r="D25" s="14" t="s">
        <v>28</v>
      </c>
      <c r="E25" s="26">
        <v>90.73923639317627</v>
      </c>
      <c r="F25" s="26">
        <v>50.28</v>
      </c>
      <c r="G25" s="26">
        <v>0</v>
      </c>
      <c r="H25" s="26">
        <v>86.33</v>
      </c>
      <c r="I25" s="26"/>
      <c r="J25" s="26">
        <f t="shared" si="3"/>
        <v>227.34923639317626</v>
      </c>
    </row>
    <row r="26" spans="1:10" x14ac:dyDescent="0.3">
      <c r="A26">
        <f t="shared" si="2"/>
        <v>9</v>
      </c>
      <c r="B26" s="17" t="s">
        <v>451</v>
      </c>
      <c r="C26" s="17" t="s">
        <v>46</v>
      </c>
      <c r="D26" s="17" t="s">
        <v>28</v>
      </c>
      <c r="E26" s="26">
        <v>0</v>
      </c>
      <c r="F26" s="26">
        <v>67.209999999999994</v>
      </c>
      <c r="G26" s="26">
        <v>0</v>
      </c>
      <c r="H26" s="26">
        <v>0</v>
      </c>
      <c r="I26" s="26"/>
      <c r="J26" s="26">
        <f t="shared" si="3"/>
        <v>67.209999999999994</v>
      </c>
    </row>
    <row r="27" spans="1:10" x14ac:dyDescent="0.3">
      <c r="A27">
        <f t="shared" si="2"/>
        <v>10</v>
      </c>
      <c r="B27" s="32" t="s">
        <v>31</v>
      </c>
      <c r="C27" s="32" t="s">
        <v>14</v>
      </c>
      <c r="D27" s="32" t="s">
        <v>28</v>
      </c>
      <c r="E27" s="26">
        <v>0</v>
      </c>
      <c r="F27" s="26">
        <v>0</v>
      </c>
      <c r="G27" s="26">
        <v>0</v>
      </c>
      <c r="H27" s="26">
        <v>0</v>
      </c>
      <c r="I27" s="26"/>
      <c r="J27" s="26">
        <f t="shared" si="3"/>
        <v>0</v>
      </c>
    </row>
    <row r="28" spans="1:10" x14ac:dyDescent="0.3">
      <c r="A28">
        <f t="shared" si="2"/>
        <v>10</v>
      </c>
      <c r="B28" s="32" t="s">
        <v>36</v>
      </c>
      <c r="C28" s="32" t="s">
        <v>2</v>
      </c>
      <c r="D28" s="32" t="s">
        <v>28</v>
      </c>
      <c r="E28" s="26">
        <v>0</v>
      </c>
      <c r="F28" s="26">
        <v>0</v>
      </c>
      <c r="G28" s="26">
        <v>0</v>
      </c>
      <c r="H28" s="26">
        <v>0</v>
      </c>
      <c r="I28" s="26"/>
      <c r="J28" s="26">
        <f t="shared" si="3"/>
        <v>0</v>
      </c>
    </row>
    <row r="29" spans="1:10" x14ac:dyDescent="0.3">
      <c r="A29">
        <f>RANK(J29,$J$18:$J$29)</f>
        <v>10</v>
      </c>
      <c r="B29" s="23" t="s">
        <v>47</v>
      </c>
      <c r="C29" s="23" t="s">
        <v>1</v>
      </c>
      <c r="D29" s="23" t="s">
        <v>28</v>
      </c>
      <c r="E29" s="26">
        <v>0</v>
      </c>
      <c r="F29" s="26">
        <v>0</v>
      </c>
      <c r="G29" s="26">
        <v>0</v>
      </c>
      <c r="H29" s="26">
        <v>0</v>
      </c>
      <c r="I29" s="26"/>
      <c r="J29" s="26">
        <f t="shared" si="3"/>
        <v>0</v>
      </c>
    </row>
    <row r="30" spans="1:10" x14ac:dyDescent="0.3">
      <c r="B30" s="24"/>
      <c r="C30" s="24"/>
      <c r="D30" s="24"/>
      <c r="E30" s="26"/>
      <c r="F30" s="26"/>
      <c r="G30" s="26"/>
      <c r="H30" s="26"/>
      <c r="I30" s="26"/>
      <c r="J30" s="26"/>
    </row>
    <row r="31" spans="1:10" x14ac:dyDescent="0.3">
      <c r="B31" s="24"/>
      <c r="C31" s="24"/>
      <c r="D31" s="24"/>
      <c r="E31" s="26"/>
      <c r="F31" s="26"/>
      <c r="G31" s="26"/>
      <c r="H31" s="26"/>
      <c r="I31" s="26"/>
      <c r="J31" s="26"/>
    </row>
    <row r="32" spans="1:10" x14ac:dyDescent="0.3">
      <c r="A32" s="1"/>
      <c r="B32" s="1"/>
      <c r="C32" s="1"/>
      <c r="D32" s="2"/>
      <c r="E32" s="10" t="s">
        <v>1</v>
      </c>
      <c r="F32" s="10" t="s">
        <v>4</v>
      </c>
      <c r="G32" s="10" t="s">
        <v>2</v>
      </c>
      <c r="H32" s="11" t="s">
        <v>12</v>
      </c>
      <c r="I32" s="10" t="s">
        <v>3</v>
      </c>
      <c r="J32" s="9" t="s">
        <v>6</v>
      </c>
    </row>
    <row r="33" spans="1:10" x14ac:dyDescent="0.3">
      <c r="A33" s="16" t="s">
        <v>379</v>
      </c>
      <c r="B33" s="3" t="s">
        <v>7</v>
      </c>
      <c r="C33" s="4" t="s">
        <v>8</v>
      </c>
      <c r="D33" s="4" t="s">
        <v>0</v>
      </c>
      <c r="E33" s="5" t="s">
        <v>9</v>
      </c>
      <c r="F33" s="6" t="s">
        <v>9</v>
      </c>
      <c r="G33" s="7" t="s">
        <v>9</v>
      </c>
      <c r="H33" s="7" t="s">
        <v>9</v>
      </c>
      <c r="I33" s="8" t="s">
        <v>9</v>
      </c>
      <c r="J33" s="8" t="s">
        <v>9</v>
      </c>
    </row>
    <row r="34" spans="1:10" x14ac:dyDescent="0.3">
      <c r="A34" s="25">
        <f t="shared" ref="A34:A43" si="4">RANK(J34, $J$34:$J$44)</f>
        <v>1</v>
      </c>
      <c r="B34" s="17" t="s">
        <v>37</v>
      </c>
      <c r="C34" s="17" t="s">
        <v>27</v>
      </c>
      <c r="D34" s="14" t="s">
        <v>38</v>
      </c>
      <c r="E34" s="26">
        <v>100</v>
      </c>
      <c r="F34" s="26">
        <v>89.84</v>
      </c>
      <c r="G34" s="26">
        <v>0</v>
      </c>
      <c r="H34" s="26">
        <v>100</v>
      </c>
      <c r="I34" s="26"/>
      <c r="J34" s="26">
        <f t="shared" ref="J34:J44" si="5">LARGE(E34:I34,1)+LARGE(E34:I34,2)+LARGE(E34:I34,3)</f>
        <v>289.84000000000003</v>
      </c>
    </row>
    <row r="35" spans="1:10" x14ac:dyDescent="0.3">
      <c r="A35" s="25">
        <f t="shared" si="4"/>
        <v>2</v>
      </c>
      <c r="B35" s="17" t="s">
        <v>40</v>
      </c>
      <c r="C35" s="17" t="s">
        <v>2</v>
      </c>
      <c r="D35" s="14" t="s">
        <v>38</v>
      </c>
      <c r="E35" s="26">
        <v>88.43777581641659</v>
      </c>
      <c r="F35" s="26">
        <v>0</v>
      </c>
      <c r="G35" s="15">
        <v>84.979253112033192</v>
      </c>
      <c r="H35" s="26">
        <v>0</v>
      </c>
      <c r="I35" s="26"/>
      <c r="J35" s="26">
        <f t="shared" si="5"/>
        <v>173.41702892844978</v>
      </c>
    </row>
    <row r="36" spans="1:10" x14ac:dyDescent="0.3">
      <c r="A36" s="25">
        <f t="shared" si="4"/>
        <v>3</v>
      </c>
      <c r="B36" s="17" t="s">
        <v>454</v>
      </c>
      <c r="C36" s="17" t="s">
        <v>160</v>
      </c>
      <c r="D36" s="17" t="s">
        <v>38</v>
      </c>
      <c r="E36" s="27">
        <v>0</v>
      </c>
      <c r="F36" s="26">
        <v>88.71</v>
      </c>
      <c r="G36" s="26">
        <v>0</v>
      </c>
      <c r="H36" s="26">
        <v>58.47</v>
      </c>
      <c r="I36" s="26"/>
      <c r="J36" s="26">
        <f t="shared" si="5"/>
        <v>147.18</v>
      </c>
    </row>
    <row r="37" spans="1:10" x14ac:dyDescent="0.3">
      <c r="A37" s="25">
        <f t="shared" si="4"/>
        <v>4</v>
      </c>
      <c r="B37" s="17" t="s">
        <v>453</v>
      </c>
      <c r="C37" s="17" t="s">
        <v>54</v>
      </c>
      <c r="D37" s="17" t="s">
        <v>38</v>
      </c>
      <c r="E37" s="27">
        <v>0</v>
      </c>
      <c r="F37" s="29">
        <v>100</v>
      </c>
      <c r="G37" s="26">
        <v>0</v>
      </c>
      <c r="H37" s="26">
        <v>0</v>
      </c>
      <c r="I37" s="26"/>
      <c r="J37" s="26">
        <f t="shared" si="5"/>
        <v>100</v>
      </c>
    </row>
    <row r="38" spans="1:10" x14ac:dyDescent="0.3">
      <c r="A38" s="25">
        <f t="shared" si="4"/>
        <v>4</v>
      </c>
      <c r="B38" s="47" t="s">
        <v>620</v>
      </c>
      <c r="C38" s="47" t="s">
        <v>77</v>
      </c>
      <c r="D38" s="47" t="s">
        <v>38</v>
      </c>
      <c r="E38" s="26">
        <v>0</v>
      </c>
      <c r="F38" s="26">
        <v>0</v>
      </c>
      <c r="G38" s="29">
        <v>100</v>
      </c>
      <c r="H38" s="26">
        <v>0</v>
      </c>
      <c r="I38" s="26"/>
      <c r="J38" s="26">
        <f t="shared" si="5"/>
        <v>100</v>
      </c>
    </row>
    <row r="39" spans="1:10" x14ac:dyDescent="0.3">
      <c r="A39" s="25">
        <f t="shared" si="4"/>
        <v>6</v>
      </c>
      <c r="B39" s="24" t="s">
        <v>39</v>
      </c>
      <c r="C39" s="24" t="s">
        <v>14</v>
      </c>
      <c r="D39" s="39" t="s">
        <v>38</v>
      </c>
      <c r="E39" s="26">
        <v>95.675198587819949</v>
      </c>
      <c r="F39" s="26">
        <v>0</v>
      </c>
      <c r="G39" s="26">
        <v>0</v>
      </c>
      <c r="H39" s="26">
        <v>0</v>
      </c>
      <c r="I39" s="26"/>
      <c r="J39" s="26">
        <f t="shared" si="5"/>
        <v>95.675198587819949</v>
      </c>
    </row>
    <row r="40" spans="1:10" x14ac:dyDescent="0.3">
      <c r="A40" s="25">
        <f t="shared" si="4"/>
        <v>7</v>
      </c>
      <c r="B40" s="17" t="s">
        <v>58</v>
      </c>
      <c r="C40" s="17" t="s">
        <v>59</v>
      </c>
      <c r="D40" s="17" t="s">
        <v>38</v>
      </c>
      <c r="E40" s="26">
        <v>0</v>
      </c>
      <c r="F40" s="26">
        <v>0</v>
      </c>
      <c r="G40" s="26">
        <v>84.32</v>
      </c>
      <c r="H40" s="26">
        <v>0</v>
      </c>
      <c r="I40" s="26"/>
      <c r="J40" s="26">
        <f t="shared" si="5"/>
        <v>84.32</v>
      </c>
    </row>
    <row r="41" spans="1:10" x14ac:dyDescent="0.3">
      <c r="A41" s="25">
        <f t="shared" si="4"/>
        <v>8</v>
      </c>
      <c r="B41" s="24" t="s">
        <v>63</v>
      </c>
      <c r="C41" s="24" t="s">
        <v>4</v>
      </c>
      <c r="D41" s="24" t="s">
        <v>38</v>
      </c>
      <c r="E41" s="26">
        <v>0</v>
      </c>
      <c r="F41" s="26">
        <v>0</v>
      </c>
      <c r="G41" s="26">
        <v>0</v>
      </c>
      <c r="H41" s="26">
        <v>59.01</v>
      </c>
      <c r="I41" s="26"/>
      <c r="J41" s="26">
        <f t="shared" si="5"/>
        <v>59.01</v>
      </c>
    </row>
    <row r="42" spans="1:10" x14ac:dyDescent="0.3">
      <c r="A42" s="25">
        <f t="shared" si="4"/>
        <v>9</v>
      </c>
      <c r="B42" s="39" t="s">
        <v>41</v>
      </c>
      <c r="C42" s="39" t="s">
        <v>19</v>
      </c>
      <c r="D42" s="39" t="s">
        <v>38</v>
      </c>
      <c r="E42" s="26">
        <v>0</v>
      </c>
      <c r="F42" s="26">
        <v>0</v>
      </c>
      <c r="G42" s="26">
        <v>0</v>
      </c>
      <c r="H42" s="26">
        <v>0</v>
      </c>
      <c r="I42" s="26"/>
      <c r="J42" s="26">
        <f t="shared" si="5"/>
        <v>0</v>
      </c>
    </row>
    <row r="43" spans="1:10" x14ac:dyDescent="0.3">
      <c r="A43" s="25">
        <f t="shared" si="4"/>
        <v>9</v>
      </c>
      <c r="B43" s="24" t="s">
        <v>621</v>
      </c>
      <c r="C43" s="24" t="s">
        <v>12</v>
      </c>
      <c r="D43" s="24" t="s">
        <v>38</v>
      </c>
      <c r="E43" s="26">
        <v>0</v>
      </c>
      <c r="F43" s="26">
        <v>0</v>
      </c>
      <c r="G43" s="29">
        <v>0</v>
      </c>
      <c r="H43" s="26">
        <v>0</v>
      </c>
      <c r="I43" s="26"/>
      <c r="J43" s="26">
        <f t="shared" si="5"/>
        <v>0</v>
      </c>
    </row>
    <row r="44" spans="1:10" x14ac:dyDescent="0.3">
      <c r="A44" s="25">
        <f>RANK(J44, $J$34:$J$44)</f>
        <v>9</v>
      </c>
      <c r="B44" s="24" t="s">
        <v>698</v>
      </c>
      <c r="C44" s="24" t="s">
        <v>61</v>
      </c>
      <c r="D44" s="24" t="s">
        <v>38</v>
      </c>
      <c r="E44" s="26">
        <v>0</v>
      </c>
      <c r="F44" s="26">
        <v>0</v>
      </c>
      <c r="G44" s="26">
        <v>0</v>
      </c>
      <c r="H44" s="26">
        <v>0</v>
      </c>
      <c r="I44" s="26"/>
      <c r="J44" s="26">
        <f t="shared" si="5"/>
        <v>0</v>
      </c>
    </row>
    <row r="45" spans="1:10" x14ac:dyDescent="0.3">
      <c r="A45" s="25"/>
      <c r="B45" s="24"/>
      <c r="C45" s="24"/>
      <c r="D45" s="24"/>
      <c r="E45" s="26"/>
      <c r="F45" s="26"/>
      <c r="G45" s="26"/>
      <c r="H45" s="26"/>
      <c r="I45" s="26"/>
      <c r="J45" s="26"/>
    </row>
    <row r="46" spans="1:10" x14ac:dyDescent="0.3">
      <c r="A46" s="25"/>
      <c r="B46" s="24"/>
      <c r="C46" s="24"/>
      <c r="D46" s="24"/>
      <c r="E46" s="26"/>
      <c r="F46" s="26"/>
      <c r="G46" s="26"/>
      <c r="H46" s="26"/>
      <c r="I46" s="26"/>
      <c r="J46" s="26"/>
    </row>
    <row r="47" spans="1:10" x14ac:dyDescent="0.3">
      <c r="A47" s="25"/>
      <c r="B47" s="24"/>
      <c r="C47" s="24"/>
      <c r="D47" s="24"/>
      <c r="E47" s="26"/>
      <c r="F47" s="26"/>
      <c r="G47" s="26"/>
      <c r="H47" s="26"/>
      <c r="I47" s="26"/>
      <c r="J47" s="26"/>
    </row>
    <row r="48" spans="1:10" x14ac:dyDescent="0.3">
      <c r="A48" s="1"/>
      <c r="B48" s="1"/>
      <c r="C48" s="1"/>
      <c r="D48" s="2"/>
      <c r="E48" s="10" t="s">
        <v>1</v>
      </c>
      <c r="F48" s="10" t="s">
        <v>4</v>
      </c>
      <c r="G48" s="10" t="s">
        <v>2</v>
      </c>
      <c r="H48" s="11" t="s">
        <v>12</v>
      </c>
      <c r="I48" s="10" t="s">
        <v>3</v>
      </c>
      <c r="J48" s="9" t="s">
        <v>6</v>
      </c>
    </row>
    <row r="49" spans="1:10" x14ac:dyDescent="0.3">
      <c r="A49" s="16" t="s">
        <v>379</v>
      </c>
      <c r="B49" s="3" t="s">
        <v>7</v>
      </c>
      <c r="C49" s="4" t="s">
        <v>8</v>
      </c>
      <c r="D49" s="4" t="s">
        <v>0</v>
      </c>
      <c r="E49" s="5" t="s">
        <v>9</v>
      </c>
      <c r="F49" s="6" t="s">
        <v>9</v>
      </c>
      <c r="G49" s="7" t="s">
        <v>9</v>
      </c>
      <c r="H49" s="7" t="s">
        <v>9</v>
      </c>
      <c r="I49" s="8" t="s">
        <v>9</v>
      </c>
      <c r="J49" s="8" t="s">
        <v>9</v>
      </c>
    </row>
    <row r="50" spans="1:10" x14ac:dyDescent="0.3">
      <c r="A50">
        <f t="shared" ref="A50:A63" si="6">RANK(J50,$J$50:$J$63)</f>
        <v>1</v>
      </c>
      <c r="B50" s="14" t="s">
        <v>51</v>
      </c>
      <c r="C50" s="14" t="s">
        <v>3</v>
      </c>
      <c r="D50" s="14" t="s">
        <v>43</v>
      </c>
      <c r="E50" s="26">
        <v>93.08600337268129</v>
      </c>
      <c r="F50" s="29">
        <v>95.63</v>
      </c>
      <c r="G50" s="26">
        <v>93.32</v>
      </c>
      <c r="H50" s="26">
        <v>100</v>
      </c>
      <c r="I50" s="26"/>
      <c r="J50" s="26">
        <f t="shared" ref="J50:J63" si="7">LARGE(E50:I50,1)+LARGE(E50:I50,2)+LARGE(E50:I50,3)</f>
        <v>288.95</v>
      </c>
    </row>
    <row r="51" spans="1:10" x14ac:dyDescent="0.3">
      <c r="A51">
        <f t="shared" si="6"/>
        <v>2</v>
      </c>
      <c r="B51" s="14" t="s">
        <v>49</v>
      </c>
      <c r="C51" s="14" t="s">
        <v>19</v>
      </c>
      <c r="D51" s="14" t="s">
        <v>43</v>
      </c>
      <c r="E51" s="26">
        <v>95.615514333895447</v>
      </c>
      <c r="F51" s="29">
        <v>96.54</v>
      </c>
      <c r="G51" s="26">
        <v>94.11</v>
      </c>
      <c r="H51" s="26">
        <v>51.13</v>
      </c>
      <c r="I51" s="26"/>
      <c r="J51" s="26">
        <f t="shared" si="7"/>
        <v>286.26551433389545</v>
      </c>
    </row>
    <row r="52" spans="1:10" x14ac:dyDescent="0.3">
      <c r="A52">
        <f t="shared" si="6"/>
        <v>3</v>
      </c>
      <c r="B52" s="17" t="s">
        <v>72</v>
      </c>
      <c r="C52" s="17" t="s">
        <v>12</v>
      </c>
      <c r="D52" s="17" t="s">
        <v>43</v>
      </c>
      <c r="E52" s="26">
        <v>0</v>
      </c>
      <c r="F52" s="26">
        <v>87.39</v>
      </c>
      <c r="G52" s="26">
        <v>94.95</v>
      </c>
      <c r="H52" s="26">
        <v>93.03</v>
      </c>
      <c r="I52" s="26"/>
      <c r="J52" s="26">
        <f t="shared" si="7"/>
        <v>275.37</v>
      </c>
    </row>
    <row r="53" spans="1:10" x14ac:dyDescent="0.3">
      <c r="A53">
        <f t="shared" si="6"/>
        <v>7</v>
      </c>
      <c r="B53" s="17" t="s">
        <v>81</v>
      </c>
      <c r="C53" s="17" t="s">
        <v>12</v>
      </c>
      <c r="D53" s="17" t="s">
        <v>43</v>
      </c>
      <c r="E53" s="26">
        <v>0</v>
      </c>
      <c r="F53" s="26">
        <v>78.900000000000006</v>
      </c>
      <c r="G53" s="26">
        <v>0</v>
      </c>
      <c r="H53" s="26">
        <v>98.47</v>
      </c>
      <c r="I53" s="26"/>
      <c r="J53" s="26">
        <f t="shared" si="7"/>
        <v>177.37</v>
      </c>
    </row>
    <row r="54" spans="1:10" x14ac:dyDescent="0.3">
      <c r="A54">
        <f t="shared" si="6"/>
        <v>4</v>
      </c>
      <c r="B54" s="14" t="s">
        <v>52</v>
      </c>
      <c r="C54" s="14" t="s">
        <v>2</v>
      </c>
      <c r="D54" s="14" t="s">
        <v>43</v>
      </c>
      <c r="E54" s="26">
        <v>87.015177065767276</v>
      </c>
      <c r="F54" s="26">
        <v>85.9</v>
      </c>
      <c r="G54" s="26">
        <v>88.98</v>
      </c>
      <c r="H54" s="26">
        <v>0</v>
      </c>
      <c r="I54" s="26"/>
      <c r="J54" s="26">
        <f t="shared" si="7"/>
        <v>261.89517706576726</v>
      </c>
    </row>
    <row r="55" spans="1:10" x14ac:dyDescent="0.3">
      <c r="A55">
        <f t="shared" si="6"/>
        <v>8</v>
      </c>
      <c r="B55" s="18" t="s">
        <v>42</v>
      </c>
      <c r="C55" s="18" t="s">
        <v>12</v>
      </c>
      <c r="D55" s="18" t="s">
        <v>43</v>
      </c>
      <c r="E55" s="28">
        <v>100</v>
      </c>
      <c r="F55" s="26">
        <v>0</v>
      </c>
      <c r="G55" s="26">
        <v>0</v>
      </c>
      <c r="H55" s="26">
        <v>0</v>
      </c>
      <c r="I55" s="26"/>
      <c r="J55" s="26">
        <f t="shared" si="7"/>
        <v>100</v>
      </c>
    </row>
    <row r="56" spans="1:10" x14ac:dyDescent="0.3">
      <c r="A56">
        <f t="shared" si="6"/>
        <v>5</v>
      </c>
      <c r="B56" s="17" t="s">
        <v>455</v>
      </c>
      <c r="C56" s="17" t="s">
        <v>456</v>
      </c>
      <c r="D56" s="17" t="s">
        <v>43</v>
      </c>
      <c r="E56" s="26">
        <v>0</v>
      </c>
      <c r="F56" s="29">
        <v>100</v>
      </c>
      <c r="G56" s="29">
        <v>100</v>
      </c>
      <c r="H56" s="29">
        <v>0</v>
      </c>
      <c r="I56" s="26"/>
      <c r="J56" s="26">
        <f t="shared" si="7"/>
        <v>200</v>
      </c>
    </row>
    <row r="57" spans="1:10" x14ac:dyDescent="0.3">
      <c r="A57">
        <f t="shared" si="6"/>
        <v>6</v>
      </c>
      <c r="B57" s="18" t="s">
        <v>45</v>
      </c>
      <c r="C57" s="18" t="s">
        <v>46</v>
      </c>
      <c r="D57" s="18" t="s">
        <v>43</v>
      </c>
      <c r="E57" s="28">
        <v>98.4822934232715</v>
      </c>
      <c r="F57" s="26">
        <v>0</v>
      </c>
      <c r="G57" s="29">
        <v>95.88</v>
      </c>
      <c r="H57" s="26">
        <v>0</v>
      </c>
      <c r="I57" s="26"/>
      <c r="J57" s="26">
        <f t="shared" si="7"/>
        <v>194.3622934232715</v>
      </c>
    </row>
    <row r="58" spans="1:10" x14ac:dyDescent="0.3">
      <c r="A58">
        <f t="shared" si="6"/>
        <v>9</v>
      </c>
      <c r="B58" s="18" t="s">
        <v>44</v>
      </c>
      <c r="C58" s="18" t="s">
        <v>14</v>
      </c>
      <c r="D58" s="18" t="s">
        <v>43</v>
      </c>
      <c r="E58" s="28">
        <v>97.470489038785843</v>
      </c>
      <c r="F58" s="26">
        <v>0</v>
      </c>
      <c r="G58" s="29">
        <v>0</v>
      </c>
      <c r="H58" s="48">
        <v>0</v>
      </c>
      <c r="I58" s="26"/>
      <c r="J58" s="26">
        <f t="shared" si="7"/>
        <v>97.470489038785843</v>
      </c>
    </row>
    <row r="59" spans="1:10" x14ac:dyDescent="0.3">
      <c r="A59">
        <f t="shared" si="6"/>
        <v>10</v>
      </c>
      <c r="B59" s="14" t="s">
        <v>50</v>
      </c>
      <c r="C59" s="14" t="s">
        <v>14</v>
      </c>
      <c r="D59" s="14" t="s">
        <v>43</v>
      </c>
      <c r="E59" s="26">
        <v>94.013490725126474</v>
      </c>
      <c r="F59" s="26">
        <v>0</v>
      </c>
      <c r="G59" s="26">
        <v>0</v>
      </c>
      <c r="H59" s="26">
        <v>0</v>
      </c>
      <c r="I59" s="26"/>
      <c r="J59" s="26">
        <f t="shared" si="7"/>
        <v>94.013490725126474</v>
      </c>
    </row>
    <row r="60" spans="1:10" x14ac:dyDescent="0.3">
      <c r="A60">
        <f t="shared" si="6"/>
        <v>11</v>
      </c>
      <c r="B60" s="23" t="s">
        <v>699</v>
      </c>
      <c r="C60" s="23" t="s">
        <v>3</v>
      </c>
      <c r="D60" s="23" t="s">
        <v>43</v>
      </c>
      <c r="E60" s="26">
        <v>0</v>
      </c>
      <c r="F60" s="26">
        <v>0</v>
      </c>
      <c r="G60" s="26">
        <v>0</v>
      </c>
      <c r="H60" s="26">
        <v>91.99</v>
      </c>
      <c r="J60" s="26">
        <f t="shared" si="7"/>
        <v>91.99</v>
      </c>
    </row>
    <row r="61" spans="1:10" x14ac:dyDescent="0.3">
      <c r="A61">
        <f t="shared" si="6"/>
        <v>12</v>
      </c>
      <c r="B61" s="32" t="s">
        <v>47</v>
      </c>
      <c r="C61" s="32" t="s">
        <v>1</v>
      </c>
      <c r="D61" s="32" t="s">
        <v>43</v>
      </c>
      <c r="E61" s="26">
        <v>0</v>
      </c>
      <c r="F61" s="29">
        <v>0</v>
      </c>
      <c r="G61" s="26">
        <v>0</v>
      </c>
      <c r="H61" s="26">
        <v>0</v>
      </c>
      <c r="I61" s="26"/>
      <c r="J61" s="26">
        <f t="shared" si="7"/>
        <v>0</v>
      </c>
    </row>
    <row r="62" spans="1:10" x14ac:dyDescent="0.3">
      <c r="A62">
        <f t="shared" si="6"/>
        <v>12</v>
      </c>
      <c r="B62" s="32" t="s">
        <v>48</v>
      </c>
      <c r="C62" s="32" t="s">
        <v>2</v>
      </c>
      <c r="D62" s="32" t="s">
        <v>43</v>
      </c>
      <c r="E62" s="26">
        <v>0</v>
      </c>
      <c r="F62" s="26">
        <v>0</v>
      </c>
      <c r="G62" s="29">
        <v>0</v>
      </c>
      <c r="H62" s="26">
        <v>0</v>
      </c>
      <c r="I62" s="26"/>
      <c r="J62" s="26">
        <f t="shared" si="7"/>
        <v>0</v>
      </c>
    </row>
    <row r="63" spans="1:10" x14ac:dyDescent="0.3">
      <c r="A63">
        <f t="shared" si="6"/>
        <v>12</v>
      </c>
      <c r="B63" s="32" t="s">
        <v>53</v>
      </c>
      <c r="C63" s="32" t="s">
        <v>54</v>
      </c>
      <c r="D63" s="32" t="s">
        <v>43</v>
      </c>
      <c r="E63" s="26">
        <v>0</v>
      </c>
      <c r="F63" s="26">
        <v>0</v>
      </c>
      <c r="G63" s="26">
        <v>0</v>
      </c>
      <c r="H63" s="26">
        <v>0</v>
      </c>
      <c r="I63" s="26"/>
      <c r="J63" s="26">
        <f t="shared" si="7"/>
        <v>0</v>
      </c>
    </row>
  </sheetData>
  <sortState xmlns:xlrd2="http://schemas.microsoft.com/office/spreadsheetml/2017/richdata2" ref="A50:J63">
    <sortCondition ref="A5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D4D44-38B0-4396-B9A1-B9C826AA6E21}">
  <sheetPr codeName="Sheet9"/>
  <dimension ref="A1:J62"/>
  <sheetViews>
    <sheetView zoomScale="50" workbookViewId="0">
      <selection activeCell="B2" sqref="B2:C4"/>
    </sheetView>
  </sheetViews>
  <sheetFormatPr defaultRowHeight="14.4" x14ac:dyDescent="0.3"/>
  <cols>
    <col min="2" max="2" width="45.44140625" bestFit="1" customWidth="1"/>
    <col min="3" max="3" width="16.33203125" bestFit="1" customWidth="1"/>
    <col min="4" max="4" width="11.44140625" bestFit="1" customWidth="1"/>
    <col min="5" max="5" width="8.88671875" bestFit="1" customWidth="1"/>
    <col min="6" max="6" width="6.88671875" bestFit="1" customWidth="1"/>
    <col min="7" max="7" width="13.6640625" bestFit="1" customWidth="1"/>
    <col min="8" max="8" width="15.44140625" bestFit="1" customWidth="1"/>
    <col min="9" max="9" width="16.44140625" bestFit="1" customWidth="1"/>
    <col min="10" max="10" width="7.44140625" bestFit="1" customWidth="1"/>
  </cols>
  <sheetData>
    <row r="1" spans="1:10" x14ac:dyDescent="0.3">
      <c r="A1" s="12" t="s">
        <v>379</v>
      </c>
      <c r="B1" s="12" t="s">
        <v>10</v>
      </c>
      <c r="C1" s="12" t="s">
        <v>8</v>
      </c>
      <c r="D1" s="12" t="s">
        <v>0</v>
      </c>
      <c r="E1" s="13" t="s">
        <v>1</v>
      </c>
      <c r="F1" s="13" t="s">
        <v>4</v>
      </c>
      <c r="G1" s="13" t="s">
        <v>2</v>
      </c>
      <c r="H1" s="11" t="s">
        <v>12</v>
      </c>
      <c r="I1" s="13" t="s">
        <v>3</v>
      </c>
      <c r="J1" s="13" t="s">
        <v>11</v>
      </c>
    </row>
    <row r="2" spans="1:10" x14ac:dyDescent="0.3">
      <c r="A2">
        <f t="shared" ref="A2:A33" si="0">RANK(J2,$J$2:$J$63)</f>
        <v>1</v>
      </c>
      <c r="B2" s="17" t="s">
        <v>380</v>
      </c>
      <c r="C2" s="17" t="s">
        <v>12</v>
      </c>
      <c r="D2" s="17" t="s">
        <v>381</v>
      </c>
      <c r="E2" s="22">
        <v>100</v>
      </c>
      <c r="F2" s="22">
        <v>100</v>
      </c>
      <c r="G2" s="15">
        <v>100</v>
      </c>
      <c r="H2" s="15">
        <v>0</v>
      </c>
      <c r="I2" s="15"/>
      <c r="J2" s="15">
        <f t="shared" ref="J2:J33" si="1">LARGE(E2:I2,1)+LARGE(E2:I2,2)+LARGE(E2:I2,3)</f>
        <v>300</v>
      </c>
    </row>
    <row r="3" spans="1:10" x14ac:dyDescent="0.3">
      <c r="A3">
        <f t="shared" si="0"/>
        <v>2</v>
      </c>
      <c r="B3" s="17" t="s">
        <v>384</v>
      </c>
      <c r="C3" s="17" t="s">
        <v>19</v>
      </c>
      <c r="D3" s="17" t="s">
        <v>381</v>
      </c>
      <c r="E3" s="22">
        <v>99.96545768566493</v>
      </c>
      <c r="F3" s="22">
        <v>96.349596349596339</v>
      </c>
      <c r="G3" s="15">
        <v>0</v>
      </c>
      <c r="H3" s="15">
        <v>97.76</v>
      </c>
      <c r="I3" s="15"/>
      <c r="J3" s="15">
        <f t="shared" si="1"/>
        <v>294.07505403526125</v>
      </c>
    </row>
    <row r="4" spans="1:10" x14ac:dyDescent="0.3">
      <c r="A4">
        <f t="shared" si="0"/>
        <v>3</v>
      </c>
      <c r="B4" s="17" t="s">
        <v>396</v>
      </c>
      <c r="C4" s="17" t="s">
        <v>12</v>
      </c>
      <c r="D4" s="17" t="s">
        <v>381</v>
      </c>
      <c r="E4" s="22">
        <v>0</v>
      </c>
      <c r="F4" s="22">
        <v>91.540891540891536</v>
      </c>
      <c r="G4" s="15">
        <v>98.516949152542381</v>
      </c>
      <c r="H4" s="15">
        <v>96.27</v>
      </c>
      <c r="I4" s="15"/>
      <c r="J4" s="15">
        <f t="shared" si="1"/>
        <v>286.32784069343393</v>
      </c>
    </row>
    <row r="5" spans="1:10" x14ac:dyDescent="0.3">
      <c r="A5">
        <f t="shared" si="0"/>
        <v>4</v>
      </c>
      <c r="B5" s="17" t="s">
        <v>385</v>
      </c>
      <c r="C5" s="17" t="s">
        <v>19</v>
      </c>
      <c r="D5" s="17" t="s">
        <v>381</v>
      </c>
      <c r="E5" s="22">
        <v>97.582037996545765</v>
      </c>
      <c r="F5" s="22">
        <v>89.926289926289911</v>
      </c>
      <c r="G5" s="15">
        <v>0</v>
      </c>
      <c r="H5" s="15">
        <v>94.57</v>
      </c>
      <c r="I5" s="15"/>
      <c r="J5" s="15">
        <f t="shared" si="1"/>
        <v>282.07832792283568</v>
      </c>
    </row>
    <row r="6" spans="1:10" x14ac:dyDescent="0.3">
      <c r="A6">
        <f t="shared" si="0"/>
        <v>5</v>
      </c>
      <c r="B6" s="17" t="s">
        <v>387</v>
      </c>
      <c r="C6" s="17" t="s">
        <v>3</v>
      </c>
      <c r="D6" s="17" t="s">
        <v>381</v>
      </c>
      <c r="E6" s="22">
        <v>93.195164075993091</v>
      </c>
      <c r="F6" s="22">
        <v>86.732186732186733</v>
      </c>
      <c r="G6" s="15">
        <v>89.618644067796609</v>
      </c>
      <c r="H6" s="15">
        <v>82.62</v>
      </c>
      <c r="I6" s="15"/>
      <c r="J6" s="15">
        <f t="shared" si="1"/>
        <v>269.54599487597642</v>
      </c>
    </row>
    <row r="7" spans="1:10" x14ac:dyDescent="0.3">
      <c r="A7">
        <f t="shared" si="0"/>
        <v>6</v>
      </c>
      <c r="B7" s="17" t="s">
        <v>386</v>
      </c>
      <c r="C7" s="17" t="s">
        <v>19</v>
      </c>
      <c r="D7" s="17" t="s">
        <v>381</v>
      </c>
      <c r="E7" s="22">
        <v>94.404145077720202</v>
      </c>
      <c r="F7" s="22">
        <v>98.6</v>
      </c>
      <c r="G7" s="15">
        <v>54.943502824858761</v>
      </c>
      <c r="H7" s="15">
        <v>65.31</v>
      </c>
      <c r="I7" s="15"/>
      <c r="J7" s="15">
        <f t="shared" si="1"/>
        <v>258.31414507772018</v>
      </c>
    </row>
    <row r="8" spans="1:10" x14ac:dyDescent="0.3">
      <c r="A8">
        <f t="shared" si="0"/>
        <v>7</v>
      </c>
      <c r="B8" s="17" t="s">
        <v>394</v>
      </c>
      <c r="C8" s="17" t="s">
        <v>19</v>
      </c>
      <c r="D8" s="17" t="s">
        <v>381</v>
      </c>
      <c r="E8" s="22">
        <v>67.081174438687398</v>
      </c>
      <c r="F8" s="22">
        <v>92.664092664092649</v>
      </c>
      <c r="G8" s="15">
        <v>0</v>
      </c>
      <c r="H8" s="15">
        <v>66.41</v>
      </c>
      <c r="I8" s="15"/>
      <c r="J8" s="15">
        <f t="shared" si="1"/>
        <v>226.15526710278004</v>
      </c>
    </row>
    <row r="9" spans="1:10" x14ac:dyDescent="0.3">
      <c r="A9">
        <f t="shared" si="0"/>
        <v>8</v>
      </c>
      <c r="B9" s="17" t="s">
        <v>573</v>
      </c>
      <c r="C9" s="17" t="s">
        <v>35</v>
      </c>
      <c r="D9" s="17" t="s">
        <v>381</v>
      </c>
      <c r="E9" s="22">
        <v>0</v>
      </c>
      <c r="F9" s="22">
        <v>96.209196209196179</v>
      </c>
      <c r="G9" s="15">
        <v>84.074858757062145</v>
      </c>
      <c r="H9" s="15">
        <v>0</v>
      </c>
      <c r="I9" s="15"/>
      <c r="J9" s="15">
        <f t="shared" si="1"/>
        <v>180.28405496625834</v>
      </c>
    </row>
    <row r="10" spans="1:10" x14ac:dyDescent="0.3">
      <c r="A10">
        <f t="shared" si="0"/>
        <v>9</v>
      </c>
      <c r="B10" s="17" t="s">
        <v>393</v>
      </c>
      <c r="C10" s="17" t="s">
        <v>4</v>
      </c>
      <c r="D10" s="17" t="s">
        <v>381</v>
      </c>
      <c r="E10" s="22">
        <v>0</v>
      </c>
      <c r="F10" s="22">
        <v>84.977184977184962</v>
      </c>
      <c r="G10" s="15">
        <v>0</v>
      </c>
      <c r="H10" s="15">
        <v>57.03</v>
      </c>
      <c r="I10" s="15"/>
      <c r="J10" s="15">
        <f t="shared" si="1"/>
        <v>142.00718497718498</v>
      </c>
    </row>
    <row r="11" spans="1:10" x14ac:dyDescent="0.3">
      <c r="A11">
        <f t="shared" si="0"/>
        <v>10</v>
      </c>
      <c r="B11" s="45" t="s">
        <v>757</v>
      </c>
      <c r="C11" s="45" t="s">
        <v>12</v>
      </c>
      <c r="D11" s="17" t="s">
        <v>381</v>
      </c>
      <c r="E11" s="22">
        <v>0</v>
      </c>
      <c r="F11" s="22">
        <v>0</v>
      </c>
      <c r="G11" s="15">
        <v>0</v>
      </c>
      <c r="H11" s="44">
        <v>100</v>
      </c>
      <c r="J11" s="15">
        <f t="shared" si="1"/>
        <v>100</v>
      </c>
    </row>
    <row r="12" spans="1:10" x14ac:dyDescent="0.3">
      <c r="A12">
        <f t="shared" si="0"/>
        <v>11</v>
      </c>
      <c r="B12" s="45" t="s">
        <v>760</v>
      </c>
      <c r="C12" s="45" t="s">
        <v>3</v>
      </c>
      <c r="D12" s="17" t="s">
        <v>381</v>
      </c>
      <c r="E12" s="22">
        <v>0</v>
      </c>
      <c r="F12" s="22">
        <v>0</v>
      </c>
      <c r="G12" s="22">
        <v>0</v>
      </c>
      <c r="H12" s="44">
        <v>98.01</v>
      </c>
      <c r="J12" s="15">
        <f t="shared" si="1"/>
        <v>98.01</v>
      </c>
    </row>
    <row r="13" spans="1:10" x14ac:dyDescent="0.3">
      <c r="A13">
        <f t="shared" si="0"/>
        <v>12</v>
      </c>
      <c r="B13" s="45" t="s">
        <v>636</v>
      </c>
      <c r="C13" s="45" t="s">
        <v>14</v>
      </c>
      <c r="D13" s="17" t="s">
        <v>381</v>
      </c>
      <c r="E13" s="22">
        <v>0</v>
      </c>
      <c r="F13" s="22">
        <v>0</v>
      </c>
      <c r="G13" s="22">
        <v>0</v>
      </c>
      <c r="H13" s="44">
        <v>97.51</v>
      </c>
      <c r="J13" s="15">
        <f t="shared" si="1"/>
        <v>97.51</v>
      </c>
    </row>
    <row r="14" spans="1:10" x14ac:dyDescent="0.3">
      <c r="A14">
        <f t="shared" si="0"/>
        <v>13</v>
      </c>
      <c r="B14" s="45" t="s">
        <v>636</v>
      </c>
      <c r="C14" s="45" t="s">
        <v>14</v>
      </c>
      <c r="D14" s="17" t="s">
        <v>381</v>
      </c>
      <c r="E14" s="22">
        <v>0</v>
      </c>
      <c r="F14" s="22">
        <v>0</v>
      </c>
      <c r="G14" s="15">
        <v>96.504237288135599</v>
      </c>
      <c r="H14" s="15">
        <v>0</v>
      </c>
      <c r="J14" s="15">
        <f t="shared" si="1"/>
        <v>96.504237288135599</v>
      </c>
    </row>
    <row r="15" spans="1:10" x14ac:dyDescent="0.3">
      <c r="A15">
        <f t="shared" si="0"/>
        <v>14</v>
      </c>
      <c r="B15" s="17" t="s">
        <v>575</v>
      </c>
      <c r="C15" s="17" t="s">
        <v>27</v>
      </c>
      <c r="D15" s="17" t="s">
        <v>381</v>
      </c>
      <c r="E15" s="22">
        <v>0</v>
      </c>
      <c r="F15" s="22">
        <v>93.26079326079325</v>
      </c>
      <c r="G15" s="15">
        <v>0</v>
      </c>
      <c r="H15" s="15">
        <v>0</v>
      </c>
      <c r="I15" s="15"/>
      <c r="J15" s="15">
        <f t="shared" si="1"/>
        <v>93.26079326079325</v>
      </c>
    </row>
    <row r="16" spans="1:10" x14ac:dyDescent="0.3">
      <c r="A16">
        <f t="shared" si="0"/>
        <v>15</v>
      </c>
      <c r="B16" s="45" t="s">
        <v>637</v>
      </c>
      <c r="C16" s="45" t="s">
        <v>19</v>
      </c>
      <c r="D16" s="17" t="s">
        <v>381</v>
      </c>
      <c r="E16" s="22">
        <v>0</v>
      </c>
      <c r="F16" s="22">
        <v>0</v>
      </c>
      <c r="G16" s="15">
        <v>93.255649717514117</v>
      </c>
      <c r="H16" s="15">
        <v>0</v>
      </c>
      <c r="J16" s="15">
        <f t="shared" si="1"/>
        <v>93.255649717514117</v>
      </c>
    </row>
    <row r="17" spans="1:10" x14ac:dyDescent="0.3">
      <c r="A17">
        <f t="shared" si="0"/>
        <v>16</v>
      </c>
      <c r="B17" s="23" t="s">
        <v>388</v>
      </c>
      <c r="C17" s="23" t="s">
        <v>3</v>
      </c>
      <c r="D17" s="17" t="s">
        <v>381</v>
      </c>
      <c r="E17" s="22">
        <v>88.877374784110529</v>
      </c>
      <c r="F17" s="22">
        <v>0</v>
      </c>
      <c r="G17" s="15">
        <v>0</v>
      </c>
      <c r="H17" s="15">
        <v>0</v>
      </c>
      <c r="I17" s="15"/>
      <c r="J17" s="15">
        <f t="shared" si="1"/>
        <v>88.877374784110529</v>
      </c>
    </row>
    <row r="18" spans="1:10" x14ac:dyDescent="0.3">
      <c r="A18">
        <f t="shared" si="0"/>
        <v>17</v>
      </c>
      <c r="B18" s="45" t="s">
        <v>640</v>
      </c>
      <c r="C18" s="45" t="s">
        <v>14</v>
      </c>
      <c r="D18" s="17" t="s">
        <v>381</v>
      </c>
      <c r="E18" s="22">
        <v>0</v>
      </c>
      <c r="F18" s="22">
        <v>0</v>
      </c>
      <c r="G18" s="15">
        <v>86.193502824858768</v>
      </c>
      <c r="H18" s="15">
        <v>0</v>
      </c>
      <c r="J18" s="15">
        <f t="shared" si="1"/>
        <v>86.193502824858768</v>
      </c>
    </row>
    <row r="19" spans="1:10" x14ac:dyDescent="0.3">
      <c r="A19">
        <f t="shared" si="0"/>
        <v>18</v>
      </c>
      <c r="B19" s="17" t="s">
        <v>571</v>
      </c>
      <c r="C19" s="17" t="s">
        <v>12</v>
      </c>
      <c r="D19" s="17" t="s">
        <v>381</v>
      </c>
      <c r="E19" s="22">
        <v>84.24</v>
      </c>
      <c r="F19" s="22">
        <v>0</v>
      </c>
      <c r="G19" s="15">
        <v>0</v>
      </c>
      <c r="H19" s="15">
        <v>0</v>
      </c>
      <c r="I19" s="15"/>
      <c r="J19" s="15">
        <f t="shared" si="1"/>
        <v>84.24</v>
      </c>
    </row>
    <row r="20" spans="1:10" x14ac:dyDescent="0.3">
      <c r="A20">
        <f t="shared" si="0"/>
        <v>19</v>
      </c>
      <c r="B20" s="17" t="s">
        <v>580</v>
      </c>
      <c r="C20" s="17" t="s">
        <v>19</v>
      </c>
      <c r="D20" s="17" t="s">
        <v>381</v>
      </c>
      <c r="E20" s="22">
        <v>0</v>
      </c>
      <c r="F20" s="22">
        <v>82.162162162162147</v>
      </c>
      <c r="G20" s="15">
        <v>0</v>
      </c>
      <c r="H20" s="15">
        <v>0</v>
      </c>
      <c r="I20" s="15"/>
      <c r="J20" s="15">
        <f t="shared" si="1"/>
        <v>82.162162162162147</v>
      </c>
    </row>
    <row r="21" spans="1:10" x14ac:dyDescent="0.3">
      <c r="A21">
        <f t="shared" si="0"/>
        <v>20</v>
      </c>
      <c r="B21" s="17" t="s">
        <v>391</v>
      </c>
      <c r="C21" s="17" t="s">
        <v>2</v>
      </c>
      <c r="D21" s="17" t="s">
        <v>381</v>
      </c>
      <c r="E21" s="22">
        <v>78.031088082901547</v>
      </c>
      <c r="F21" s="22">
        <v>0</v>
      </c>
      <c r="G21" s="15">
        <v>0</v>
      </c>
      <c r="H21" s="15">
        <v>0</v>
      </c>
      <c r="I21" s="15"/>
      <c r="J21" s="15">
        <f t="shared" si="1"/>
        <v>78.031088082901547</v>
      </c>
    </row>
    <row r="22" spans="1:10" x14ac:dyDescent="0.3">
      <c r="A22">
        <f t="shared" si="0"/>
        <v>21</v>
      </c>
      <c r="B22" s="45" t="s">
        <v>642</v>
      </c>
      <c r="C22" s="45" t="s">
        <v>126</v>
      </c>
      <c r="D22" s="17" t="s">
        <v>381</v>
      </c>
      <c r="E22" s="22">
        <v>0</v>
      </c>
      <c r="F22" s="22">
        <v>0</v>
      </c>
      <c r="G22" s="15">
        <v>77.966101694915253</v>
      </c>
      <c r="H22" s="15">
        <v>0</v>
      </c>
      <c r="J22" s="15">
        <f t="shared" si="1"/>
        <v>77.966101694915253</v>
      </c>
    </row>
    <row r="23" spans="1:10" x14ac:dyDescent="0.3">
      <c r="A23">
        <f t="shared" si="0"/>
        <v>22</v>
      </c>
      <c r="B23" s="17" t="s">
        <v>392</v>
      </c>
      <c r="C23" s="17" t="s">
        <v>14</v>
      </c>
      <c r="D23" s="17" t="s">
        <v>381</v>
      </c>
      <c r="E23" s="22">
        <v>74.887737478411054</v>
      </c>
      <c r="F23" s="22">
        <v>0</v>
      </c>
      <c r="G23" s="15">
        <v>0</v>
      </c>
      <c r="H23" s="15">
        <v>0</v>
      </c>
      <c r="I23" s="15"/>
      <c r="J23" s="15">
        <f t="shared" si="1"/>
        <v>74.887737478411054</v>
      </c>
    </row>
    <row r="24" spans="1:10" x14ac:dyDescent="0.3">
      <c r="A24">
        <f t="shared" si="0"/>
        <v>23</v>
      </c>
      <c r="B24" s="17" t="s">
        <v>574</v>
      </c>
      <c r="C24" s="17" t="s">
        <v>3</v>
      </c>
      <c r="D24" s="17" t="s">
        <v>381</v>
      </c>
      <c r="E24" s="22">
        <v>68.480168480168473</v>
      </c>
      <c r="F24" s="22">
        <v>0</v>
      </c>
      <c r="G24" s="15">
        <v>0</v>
      </c>
      <c r="H24" s="15">
        <v>0</v>
      </c>
      <c r="I24" s="15"/>
      <c r="J24" s="15">
        <f t="shared" si="1"/>
        <v>68.480168480168473</v>
      </c>
    </row>
    <row r="25" spans="1:10" x14ac:dyDescent="0.3">
      <c r="A25">
        <f t="shared" si="0"/>
        <v>24</v>
      </c>
      <c r="B25" s="17" t="s">
        <v>395</v>
      </c>
      <c r="C25" s="17" t="s">
        <v>46</v>
      </c>
      <c r="D25" s="17" t="s">
        <v>381</v>
      </c>
      <c r="E25" s="22">
        <v>64.697754749568219</v>
      </c>
      <c r="F25" s="22">
        <v>0</v>
      </c>
      <c r="G25" s="15">
        <v>0</v>
      </c>
      <c r="H25" s="15">
        <v>0</v>
      </c>
      <c r="I25" s="15"/>
      <c r="J25" s="15">
        <f t="shared" si="1"/>
        <v>64.697754749568219</v>
      </c>
    </row>
    <row r="26" spans="1:10" x14ac:dyDescent="0.3">
      <c r="A26">
        <f t="shared" si="0"/>
        <v>25</v>
      </c>
      <c r="B26" s="45" t="s">
        <v>761</v>
      </c>
      <c r="C26" s="45" t="s">
        <v>3</v>
      </c>
      <c r="D26" s="17" t="s">
        <v>381</v>
      </c>
      <c r="E26" s="22">
        <v>0</v>
      </c>
      <c r="F26" s="22">
        <v>0</v>
      </c>
      <c r="G26" s="22">
        <v>0</v>
      </c>
      <c r="H26" s="44">
        <v>62.18</v>
      </c>
      <c r="J26" s="15">
        <f t="shared" si="1"/>
        <v>62.18</v>
      </c>
    </row>
    <row r="27" spans="1:10" x14ac:dyDescent="0.3">
      <c r="A27">
        <f t="shared" si="0"/>
        <v>26</v>
      </c>
      <c r="B27" s="45" t="s">
        <v>646</v>
      </c>
      <c r="C27" s="45" t="s">
        <v>3</v>
      </c>
      <c r="D27" s="17" t="s">
        <v>381</v>
      </c>
      <c r="E27" s="15">
        <v>0</v>
      </c>
      <c r="F27" s="15">
        <v>0</v>
      </c>
      <c r="G27" s="15">
        <v>25.459039548022595</v>
      </c>
      <c r="H27" s="15">
        <v>0</v>
      </c>
      <c r="J27" s="15">
        <f t="shared" si="1"/>
        <v>25.459039548022595</v>
      </c>
    </row>
    <row r="28" spans="1:10" x14ac:dyDescent="0.3">
      <c r="A28">
        <f t="shared" si="0"/>
        <v>27</v>
      </c>
      <c r="B28" s="45" t="s">
        <v>647</v>
      </c>
      <c r="C28" s="45" t="s">
        <v>14</v>
      </c>
      <c r="D28" s="17" t="s">
        <v>381</v>
      </c>
      <c r="E28" s="22">
        <v>0</v>
      </c>
      <c r="F28" s="22">
        <v>0</v>
      </c>
      <c r="G28" s="15">
        <v>15.395480225988701</v>
      </c>
      <c r="H28" s="15">
        <v>0</v>
      </c>
      <c r="J28" s="15">
        <f t="shared" si="1"/>
        <v>15.395480225988701</v>
      </c>
    </row>
    <row r="29" spans="1:10" x14ac:dyDescent="0.3">
      <c r="A29">
        <f t="shared" si="0"/>
        <v>28</v>
      </c>
      <c r="B29" s="17" t="s">
        <v>570</v>
      </c>
      <c r="C29" s="17" t="s">
        <v>35</v>
      </c>
      <c r="D29" s="17" t="s">
        <v>381</v>
      </c>
      <c r="E29" s="15">
        <v>0</v>
      </c>
      <c r="F29" s="15">
        <v>0</v>
      </c>
      <c r="G29" s="15">
        <v>0</v>
      </c>
      <c r="H29" s="15">
        <v>0</v>
      </c>
      <c r="I29" s="15"/>
      <c r="J29" s="15">
        <f t="shared" si="1"/>
        <v>0</v>
      </c>
    </row>
    <row r="30" spans="1:10" x14ac:dyDescent="0.3">
      <c r="A30">
        <f t="shared" si="0"/>
        <v>28</v>
      </c>
      <c r="B30" s="17" t="s">
        <v>383</v>
      </c>
      <c r="C30" s="17" t="s">
        <v>3</v>
      </c>
      <c r="D30" s="17" t="s">
        <v>381</v>
      </c>
      <c r="E30" s="22">
        <v>0</v>
      </c>
      <c r="F30" s="22">
        <v>0</v>
      </c>
      <c r="G30" s="15">
        <v>0</v>
      </c>
      <c r="H30" s="15">
        <v>0</v>
      </c>
      <c r="I30" s="15"/>
      <c r="J30" s="15">
        <f t="shared" si="1"/>
        <v>0</v>
      </c>
    </row>
    <row r="31" spans="1:10" x14ac:dyDescent="0.3">
      <c r="A31">
        <f t="shared" si="0"/>
        <v>28</v>
      </c>
      <c r="B31" s="17" t="s">
        <v>382</v>
      </c>
      <c r="C31" s="17" t="s">
        <v>3</v>
      </c>
      <c r="D31" s="17" t="s">
        <v>381</v>
      </c>
      <c r="E31" s="22">
        <v>0</v>
      </c>
      <c r="F31" s="22">
        <v>0</v>
      </c>
      <c r="G31" s="15">
        <v>0</v>
      </c>
      <c r="H31" s="15">
        <v>0</v>
      </c>
      <c r="I31" s="15"/>
      <c r="J31" s="15">
        <f t="shared" si="1"/>
        <v>0</v>
      </c>
    </row>
    <row r="32" spans="1:10" x14ac:dyDescent="0.3">
      <c r="A32">
        <f t="shared" si="0"/>
        <v>28</v>
      </c>
      <c r="B32" s="17" t="s">
        <v>572</v>
      </c>
      <c r="C32" s="17" t="s">
        <v>3</v>
      </c>
      <c r="D32" s="17" t="s">
        <v>381</v>
      </c>
      <c r="E32" s="22">
        <v>0</v>
      </c>
      <c r="F32" s="22">
        <v>0</v>
      </c>
      <c r="G32" s="15">
        <v>0</v>
      </c>
      <c r="H32" s="15">
        <v>0</v>
      </c>
      <c r="I32" s="15"/>
      <c r="J32" s="15">
        <f t="shared" si="1"/>
        <v>0</v>
      </c>
    </row>
    <row r="33" spans="1:10" x14ac:dyDescent="0.3">
      <c r="A33">
        <f t="shared" si="0"/>
        <v>28</v>
      </c>
      <c r="B33" s="45" t="s">
        <v>638</v>
      </c>
      <c r="C33" s="45" t="s">
        <v>19</v>
      </c>
      <c r="D33" s="17" t="s">
        <v>381</v>
      </c>
      <c r="E33" s="22">
        <v>0</v>
      </c>
      <c r="F33" s="22">
        <v>0</v>
      </c>
      <c r="G33" s="15">
        <v>0</v>
      </c>
      <c r="H33" s="15">
        <v>0</v>
      </c>
      <c r="J33" s="15">
        <f t="shared" si="1"/>
        <v>0</v>
      </c>
    </row>
    <row r="34" spans="1:10" x14ac:dyDescent="0.3">
      <c r="A34">
        <f t="shared" ref="A34:A62" si="2">RANK(J34,$J$2:$J$63)</f>
        <v>28</v>
      </c>
      <c r="B34" s="45" t="s">
        <v>641</v>
      </c>
      <c r="C34" s="45" t="s">
        <v>2</v>
      </c>
      <c r="D34" s="17" t="s">
        <v>381</v>
      </c>
      <c r="E34" s="22">
        <v>0</v>
      </c>
      <c r="F34" s="22">
        <v>0</v>
      </c>
      <c r="G34" s="15">
        <v>0</v>
      </c>
      <c r="H34" s="15">
        <v>0</v>
      </c>
      <c r="J34" s="15">
        <f t="shared" ref="J34:J62" si="3">LARGE(E34:I34,1)+LARGE(E34:I34,2)+LARGE(E34:I34,3)</f>
        <v>0</v>
      </c>
    </row>
    <row r="35" spans="1:10" x14ac:dyDescent="0.3">
      <c r="A35">
        <f t="shared" si="2"/>
        <v>28</v>
      </c>
      <c r="B35" s="17" t="s">
        <v>397</v>
      </c>
      <c r="C35" s="17" t="s">
        <v>19</v>
      </c>
      <c r="D35" s="17" t="s">
        <v>381</v>
      </c>
      <c r="E35" s="22">
        <v>0</v>
      </c>
      <c r="F35" s="22">
        <v>0</v>
      </c>
      <c r="G35" s="15">
        <v>0</v>
      </c>
      <c r="H35" s="15">
        <v>0</v>
      </c>
      <c r="I35" s="15"/>
      <c r="J35" s="15">
        <f t="shared" si="3"/>
        <v>0</v>
      </c>
    </row>
    <row r="36" spans="1:10" x14ac:dyDescent="0.3">
      <c r="A36">
        <f t="shared" si="2"/>
        <v>28</v>
      </c>
      <c r="B36" s="17" t="s">
        <v>389</v>
      </c>
      <c r="C36" s="17" t="s">
        <v>2</v>
      </c>
      <c r="D36" s="17" t="s">
        <v>381</v>
      </c>
      <c r="E36" s="22">
        <v>0</v>
      </c>
      <c r="F36" s="22">
        <v>0</v>
      </c>
      <c r="G36" s="15">
        <v>0</v>
      </c>
      <c r="H36" s="15">
        <v>0</v>
      </c>
      <c r="I36" s="15"/>
      <c r="J36" s="15">
        <f t="shared" si="3"/>
        <v>0</v>
      </c>
    </row>
    <row r="37" spans="1:10" x14ac:dyDescent="0.3">
      <c r="A37">
        <f t="shared" si="2"/>
        <v>28</v>
      </c>
      <c r="B37" s="17" t="s">
        <v>576</v>
      </c>
      <c r="C37" s="17" t="s">
        <v>4</v>
      </c>
      <c r="D37" s="17" t="s">
        <v>381</v>
      </c>
      <c r="E37" s="22">
        <v>0</v>
      </c>
      <c r="F37" s="22">
        <v>0</v>
      </c>
      <c r="G37" s="15">
        <v>0</v>
      </c>
      <c r="H37" s="15">
        <v>0</v>
      </c>
      <c r="I37" s="15"/>
      <c r="J37" s="15">
        <f t="shared" si="3"/>
        <v>0</v>
      </c>
    </row>
    <row r="38" spans="1:10" x14ac:dyDescent="0.3">
      <c r="A38">
        <f t="shared" si="2"/>
        <v>28</v>
      </c>
      <c r="B38" s="17" t="s">
        <v>577</v>
      </c>
      <c r="C38" s="17" t="s">
        <v>4</v>
      </c>
      <c r="D38" s="17" t="s">
        <v>381</v>
      </c>
      <c r="E38" s="22">
        <v>0</v>
      </c>
      <c r="F38" s="22">
        <v>0</v>
      </c>
      <c r="G38" s="15">
        <v>0</v>
      </c>
      <c r="H38" s="15">
        <v>0</v>
      </c>
      <c r="I38" s="15"/>
      <c r="J38" s="15">
        <f t="shared" si="3"/>
        <v>0</v>
      </c>
    </row>
    <row r="39" spans="1:10" x14ac:dyDescent="0.3">
      <c r="A39">
        <f t="shared" si="2"/>
        <v>28</v>
      </c>
      <c r="B39" s="45" t="s">
        <v>634</v>
      </c>
      <c r="C39" s="45" t="s">
        <v>4</v>
      </c>
      <c r="D39" s="17" t="s">
        <v>381</v>
      </c>
      <c r="E39" s="22">
        <v>0</v>
      </c>
      <c r="F39" s="22">
        <v>0</v>
      </c>
      <c r="G39" s="15">
        <v>0</v>
      </c>
      <c r="H39" s="15">
        <v>0</v>
      </c>
      <c r="J39" s="15">
        <f t="shared" si="3"/>
        <v>0</v>
      </c>
    </row>
    <row r="40" spans="1:10" x14ac:dyDescent="0.3">
      <c r="A40">
        <f t="shared" si="2"/>
        <v>28</v>
      </c>
      <c r="B40" s="45" t="s">
        <v>645</v>
      </c>
      <c r="C40" s="45" t="s">
        <v>12</v>
      </c>
      <c r="D40" s="17" t="s">
        <v>381</v>
      </c>
      <c r="E40" s="22">
        <v>0</v>
      </c>
      <c r="F40" s="22">
        <v>0</v>
      </c>
      <c r="G40" s="15">
        <v>0</v>
      </c>
      <c r="H40" s="15">
        <v>0</v>
      </c>
      <c r="J40" s="15">
        <f t="shared" si="3"/>
        <v>0</v>
      </c>
    </row>
    <row r="41" spans="1:10" x14ac:dyDescent="0.3">
      <c r="A41">
        <f t="shared" si="2"/>
        <v>28</v>
      </c>
      <c r="B41" s="17" t="s">
        <v>578</v>
      </c>
      <c r="C41" s="17" t="s">
        <v>4</v>
      </c>
      <c r="D41" s="17" t="s">
        <v>381</v>
      </c>
      <c r="E41" s="22">
        <v>0</v>
      </c>
      <c r="F41" s="22">
        <v>0</v>
      </c>
      <c r="G41" s="15">
        <v>0</v>
      </c>
      <c r="H41" s="15">
        <v>0</v>
      </c>
      <c r="I41" s="15"/>
      <c r="J41" s="15">
        <f t="shared" si="3"/>
        <v>0</v>
      </c>
    </row>
    <row r="42" spans="1:10" x14ac:dyDescent="0.3">
      <c r="A42">
        <f t="shared" si="2"/>
        <v>28</v>
      </c>
      <c r="B42" s="17" t="s">
        <v>579</v>
      </c>
      <c r="C42" s="17" t="s">
        <v>4</v>
      </c>
      <c r="D42" s="17" t="s">
        <v>381</v>
      </c>
      <c r="E42" s="22">
        <v>0</v>
      </c>
      <c r="F42" s="22">
        <v>0</v>
      </c>
      <c r="G42" s="15">
        <v>0</v>
      </c>
      <c r="H42" s="15">
        <v>0</v>
      </c>
      <c r="I42" s="15"/>
      <c r="J42" s="15">
        <f t="shared" si="3"/>
        <v>0</v>
      </c>
    </row>
    <row r="43" spans="1:10" x14ac:dyDescent="0.3">
      <c r="A43">
        <f t="shared" si="2"/>
        <v>28</v>
      </c>
      <c r="B43" s="45" t="s">
        <v>644</v>
      </c>
      <c r="C43" s="45" t="s">
        <v>12</v>
      </c>
      <c r="D43" s="17" t="s">
        <v>381</v>
      </c>
      <c r="E43" s="15">
        <v>0</v>
      </c>
      <c r="F43" s="15">
        <v>0</v>
      </c>
      <c r="G43" s="15">
        <v>0</v>
      </c>
      <c r="H43" s="15">
        <v>0</v>
      </c>
      <c r="J43" s="15">
        <f t="shared" si="3"/>
        <v>0</v>
      </c>
    </row>
    <row r="44" spans="1:10" x14ac:dyDescent="0.3">
      <c r="A44">
        <f t="shared" si="2"/>
        <v>28</v>
      </c>
      <c r="B44" s="45" t="s">
        <v>643</v>
      </c>
      <c r="C44" s="45" t="s">
        <v>12</v>
      </c>
      <c r="D44" s="17" t="s">
        <v>381</v>
      </c>
      <c r="E44" s="15">
        <v>0</v>
      </c>
      <c r="F44" s="15">
        <v>0</v>
      </c>
      <c r="G44" s="15">
        <v>0</v>
      </c>
      <c r="H44" s="15">
        <v>0</v>
      </c>
      <c r="J44" s="15">
        <f t="shared" si="3"/>
        <v>0</v>
      </c>
    </row>
    <row r="45" spans="1:10" x14ac:dyDescent="0.3">
      <c r="A45">
        <f t="shared" si="2"/>
        <v>28</v>
      </c>
      <c r="B45" s="45" t="s">
        <v>635</v>
      </c>
      <c r="C45" s="45" t="s">
        <v>19</v>
      </c>
      <c r="D45" s="17" t="s">
        <v>381</v>
      </c>
      <c r="E45" s="15">
        <v>0</v>
      </c>
      <c r="F45" s="15">
        <v>0</v>
      </c>
      <c r="G45" s="15">
        <v>0</v>
      </c>
      <c r="H45" s="15">
        <v>0</v>
      </c>
      <c r="J45" s="15">
        <f t="shared" si="3"/>
        <v>0</v>
      </c>
    </row>
    <row r="46" spans="1:10" x14ac:dyDescent="0.3">
      <c r="A46">
        <f t="shared" si="2"/>
        <v>28</v>
      </c>
      <c r="B46" s="45" t="s">
        <v>639</v>
      </c>
      <c r="C46" s="45" t="s">
        <v>14</v>
      </c>
      <c r="D46" s="17" t="s">
        <v>381</v>
      </c>
      <c r="E46" s="15">
        <v>0</v>
      </c>
      <c r="F46" s="15">
        <v>0</v>
      </c>
      <c r="G46" s="15">
        <v>0</v>
      </c>
      <c r="H46" s="15">
        <v>0</v>
      </c>
      <c r="J46" s="15">
        <f t="shared" si="3"/>
        <v>0</v>
      </c>
    </row>
    <row r="47" spans="1:10" x14ac:dyDescent="0.3">
      <c r="A47">
        <f t="shared" si="2"/>
        <v>28</v>
      </c>
      <c r="B47" s="17" t="s">
        <v>581</v>
      </c>
      <c r="C47" s="17" t="s">
        <v>3</v>
      </c>
      <c r="D47" s="17" t="s">
        <v>381</v>
      </c>
      <c r="E47" s="22">
        <v>0</v>
      </c>
      <c r="F47" s="22">
        <v>0</v>
      </c>
      <c r="G47" s="15">
        <v>0</v>
      </c>
      <c r="H47" s="15">
        <v>0</v>
      </c>
      <c r="I47" s="15"/>
      <c r="J47" s="15">
        <f t="shared" si="3"/>
        <v>0</v>
      </c>
    </row>
    <row r="48" spans="1:10" x14ac:dyDescent="0.3">
      <c r="A48">
        <f t="shared" si="2"/>
        <v>28</v>
      </c>
      <c r="B48" s="17" t="s">
        <v>390</v>
      </c>
      <c r="C48" s="17" t="s">
        <v>5</v>
      </c>
      <c r="D48" s="17" t="s">
        <v>381</v>
      </c>
      <c r="E48" s="22">
        <v>0</v>
      </c>
      <c r="F48" s="22">
        <v>0</v>
      </c>
      <c r="G48" s="15">
        <v>0</v>
      </c>
      <c r="H48" s="15">
        <v>0</v>
      </c>
      <c r="I48" s="15"/>
      <c r="J48" s="15">
        <f t="shared" si="3"/>
        <v>0</v>
      </c>
    </row>
    <row r="49" spans="1:10" x14ac:dyDescent="0.3">
      <c r="A49">
        <f t="shared" si="2"/>
        <v>28</v>
      </c>
      <c r="B49" s="45" t="s">
        <v>758</v>
      </c>
      <c r="C49" s="45" t="s">
        <v>3</v>
      </c>
      <c r="D49" s="17" t="s">
        <v>381</v>
      </c>
      <c r="E49" s="22">
        <v>0</v>
      </c>
      <c r="F49" s="22">
        <v>0</v>
      </c>
      <c r="G49" s="22">
        <v>0</v>
      </c>
      <c r="H49" s="15">
        <v>0</v>
      </c>
      <c r="J49" s="15">
        <f t="shared" si="3"/>
        <v>0</v>
      </c>
    </row>
    <row r="50" spans="1:10" x14ac:dyDescent="0.3">
      <c r="A50">
        <f t="shared" si="2"/>
        <v>28</v>
      </c>
      <c r="B50" s="45" t="s">
        <v>759</v>
      </c>
      <c r="C50" s="45" t="s">
        <v>12</v>
      </c>
      <c r="D50" s="17" t="s">
        <v>381</v>
      </c>
      <c r="E50" s="22">
        <v>0</v>
      </c>
      <c r="F50" s="22">
        <v>0</v>
      </c>
      <c r="G50" s="22">
        <v>0</v>
      </c>
      <c r="H50" s="15">
        <v>0</v>
      </c>
      <c r="J50" s="15">
        <f t="shared" si="3"/>
        <v>0</v>
      </c>
    </row>
    <row r="51" spans="1:10" x14ac:dyDescent="0.3">
      <c r="A51">
        <f t="shared" si="2"/>
        <v>28</v>
      </c>
      <c r="B51" s="45" t="s">
        <v>758</v>
      </c>
      <c r="C51" s="45" t="s">
        <v>3</v>
      </c>
      <c r="D51" s="17" t="s">
        <v>381</v>
      </c>
      <c r="E51" s="22">
        <v>0</v>
      </c>
      <c r="F51" s="22">
        <v>0</v>
      </c>
      <c r="G51" s="22">
        <v>0</v>
      </c>
      <c r="H51" s="15">
        <v>0</v>
      </c>
      <c r="J51" s="15">
        <f t="shared" si="3"/>
        <v>0</v>
      </c>
    </row>
    <row r="52" spans="1:10" x14ac:dyDescent="0.3">
      <c r="A52">
        <f t="shared" si="2"/>
        <v>28</v>
      </c>
      <c r="B52" s="45" t="s">
        <v>759</v>
      </c>
      <c r="C52" s="45" t="s">
        <v>12</v>
      </c>
      <c r="D52" s="17" t="s">
        <v>381</v>
      </c>
      <c r="E52" s="22">
        <v>0</v>
      </c>
      <c r="F52" s="22">
        <v>0</v>
      </c>
      <c r="G52" s="22">
        <v>0</v>
      </c>
      <c r="H52" s="15">
        <v>0</v>
      </c>
      <c r="J52" s="15">
        <f t="shared" si="3"/>
        <v>0</v>
      </c>
    </row>
    <row r="53" spans="1:10" x14ac:dyDescent="0.3">
      <c r="A53">
        <f t="shared" si="2"/>
        <v>28</v>
      </c>
      <c r="B53" s="45" t="s">
        <v>762</v>
      </c>
      <c r="C53" s="45" t="s">
        <v>61</v>
      </c>
      <c r="D53" s="17" t="s">
        <v>381</v>
      </c>
      <c r="E53" s="22">
        <v>0</v>
      </c>
      <c r="F53" s="22">
        <v>0</v>
      </c>
      <c r="G53" s="22">
        <v>0</v>
      </c>
      <c r="H53" s="15">
        <v>0</v>
      </c>
      <c r="J53" s="15">
        <f t="shared" si="3"/>
        <v>0</v>
      </c>
    </row>
    <row r="54" spans="1:10" x14ac:dyDescent="0.3">
      <c r="A54">
        <f t="shared" si="2"/>
        <v>28</v>
      </c>
      <c r="B54" s="45" t="s">
        <v>763</v>
      </c>
      <c r="C54" s="45" t="s">
        <v>35</v>
      </c>
      <c r="D54" s="17" t="s">
        <v>381</v>
      </c>
      <c r="E54" s="22">
        <v>0</v>
      </c>
      <c r="F54" s="22">
        <v>0</v>
      </c>
      <c r="G54" s="22">
        <v>0</v>
      </c>
      <c r="H54" s="15">
        <v>0</v>
      </c>
      <c r="J54" s="15">
        <f t="shared" si="3"/>
        <v>0</v>
      </c>
    </row>
    <row r="55" spans="1:10" x14ac:dyDescent="0.3">
      <c r="A55">
        <f t="shared" si="2"/>
        <v>28</v>
      </c>
      <c r="B55" s="45" t="s">
        <v>575</v>
      </c>
      <c r="C55" s="45" t="s">
        <v>27</v>
      </c>
      <c r="D55" s="17" t="s">
        <v>381</v>
      </c>
      <c r="E55" s="22">
        <v>0</v>
      </c>
      <c r="F55" s="22">
        <v>0</v>
      </c>
      <c r="G55" s="22">
        <v>0</v>
      </c>
      <c r="H55" s="15">
        <v>0</v>
      </c>
      <c r="J55" s="15">
        <f t="shared" si="3"/>
        <v>0</v>
      </c>
    </row>
    <row r="56" spans="1:10" x14ac:dyDescent="0.3">
      <c r="A56">
        <f t="shared" si="2"/>
        <v>28</v>
      </c>
      <c r="B56" s="45" t="s">
        <v>645</v>
      </c>
      <c r="C56" s="45" t="s">
        <v>12</v>
      </c>
      <c r="D56" s="17" t="s">
        <v>381</v>
      </c>
      <c r="E56" s="22">
        <v>0</v>
      </c>
      <c r="F56" s="22">
        <v>0</v>
      </c>
      <c r="G56" s="22">
        <v>0</v>
      </c>
      <c r="H56" s="15">
        <v>0</v>
      </c>
      <c r="J56" s="15">
        <f t="shared" si="3"/>
        <v>0</v>
      </c>
    </row>
    <row r="57" spans="1:10" x14ac:dyDescent="0.3">
      <c r="A57">
        <f t="shared" si="2"/>
        <v>28</v>
      </c>
      <c r="B57" s="45" t="s">
        <v>644</v>
      </c>
      <c r="C57" s="45" t="s">
        <v>12</v>
      </c>
      <c r="D57" s="17" t="s">
        <v>381</v>
      </c>
      <c r="E57" s="22">
        <v>0</v>
      </c>
      <c r="F57" s="22">
        <v>0</v>
      </c>
      <c r="G57" s="22">
        <v>0</v>
      </c>
      <c r="H57" s="15">
        <v>0</v>
      </c>
      <c r="J57" s="15">
        <f t="shared" si="3"/>
        <v>0</v>
      </c>
    </row>
    <row r="58" spans="1:10" x14ac:dyDescent="0.3">
      <c r="A58">
        <f t="shared" si="2"/>
        <v>28</v>
      </c>
      <c r="B58" s="45" t="s">
        <v>764</v>
      </c>
      <c r="C58" s="45" t="s">
        <v>12</v>
      </c>
      <c r="D58" s="17" t="s">
        <v>381</v>
      </c>
      <c r="E58" s="22">
        <v>0</v>
      </c>
      <c r="F58" s="22">
        <v>0</v>
      </c>
      <c r="G58" s="22">
        <v>0</v>
      </c>
      <c r="H58" s="15">
        <v>0</v>
      </c>
      <c r="J58" s="15">
        <f t="shared" si="3"/>
        <v>0</v>
      </c>
    </row>
    <row r="59" spans="1:10" x14ac:dyDescent="0.3">
      <c r="A59">
        <f t="shared" si="2"/>
        <v>28</v>
      </c>
      <c r="B59" s="45" t="s">
        <v>765</v>
      </c>
      <c r="C59" s="45" t="s">
        <v>19</v>
      </c>
      <c r="D59" s="17" t="s">
        <v>381</v>
      </c>
      <c r="E59" s="22">
        <v>0</v>
      </c>
      <c r="F59" s="22">
        <v>0</v>
      </c>
      <c r="G59" s="22">
        <v>0</v>
      </c>
      <c r="H59" s="15">
        <v>0</v>
      </c>
      <c r="J59" s="15">
        <f t="shared" si="3"/>
        <v>0</v>
      </c>
    </row>
    <row r="60" spans="1:10" x14ac:dyDescent="0.3">
      <c r="A60">
        <f t="shared" si="2"/>
        <v>28</v>
      </c>
      <c r="B60" s="45" t="s">
        <v>766</v>
      </c>
      <c r="C60" s="45" t="s">
        <v>12</v>
      </c>
      <c r="D60" s="17" t="s">
        <v>381</v>
      </c>
      <c r="E60" s="22">
        <v>0</v>
      </c>
      <c r="F60" s="22">
        <v>0</v>
      </c>
      <c r="G60" s="22">
        <v>0</v>
      </c>
      <c r="H60" s="15">
        <v>0</v>
      </c>
      <c r="J60" s="15">
        <f t="shared" si="3"/>
        <v>0</v>
      </c>
    </row>
    <row r="61" spans="1:10" x14ac:dyDescent="0.3">
      <c r="A61">
        <f t="shared" si="2"/>
        <v>28</v>
      </c>
      <c r="B61" s="45" t="s">
        <v>767</v>
      </c>
      <c r="C61" s="45" t="s">
        <v>19</v>
      </c>
      <c r="D61" s="17" t="s">
        <v>381</v>
      </c>
      <c r="E61" s="22">
        <v>0</v>
      </c>
      <c r="F61" s="22">
        <v>0</v>
      </c>
      <c r="G61" s="22">
        <v>0</v>
      </c>
      <c r="H61" s="15">
        <v>0</v>
      </c>
      <c r="J61" s="15">
        <f t="shared" si="3"/>
        <v>0</v>
      </c>
    </row>
    <row r="62" spans="1:10" x14ac:dyDescent="0.3">
      <c r="A62">
        <f t="shared" si="2"/>
        <v>28</v>
      </c>
      <c r="B62" s="45" t="s">
        <v>639</v>
      </c>
      <c r="C62" s="45" t="s">
        <v>14</v>
      </c>
      <c r="D62" s="17" t="s">
        <v>381</v>
      </c>
      <c r="E62" s="22">
        <v>0</v>
      </c>
      <c r="F62" s="22">
        <v>0</v>
      </c>
      <c r="G62" s="22">
        <v>0</v>
      </c>
      <c r="H62" s="15">
        <v>0</v>
      </c>
      <c r="J62" s="15">
        <f t="shared" si="3"/>
        <v>0</v>
      </c>
    </row>
  </sheetData>
  <sortState xmlns:xlrd2="http://schemas.microsoft.com/office/spreadsheetml/2017/richdata2" ref="A2:J62">
    <sortCondition ref="A2"/>
  </sortState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E8208-86A6-47AE-916E-A3FE416A9E84}">
  <sheetPr codeName="Sheet10"/>
  <dimension ref="A1:J59"/>
  <sheetViews>
    <sheetView zoomScale="54" workbookViewId="0">
      <selection activeCell="B2" sqref="B2:C4"/>
    </sheetView>
  </sheetViews>
  <sheetFormatPr defaultRowHeight="14.4" x14ac:dyDescent="0.3"/>
  <cols>
    <col min="2" max="2" width="38.5546875" bestFit="1" customWidth="1"/>
    <col min="3" max="3" width="15.88671875" bestFit="1" customWidth="1"/>
    <col min="7" max="7" width="10" bestFit="1" customWidth="1"/>
    <col min="8" max="8" width="11.44140625" bestFit="1" customWidth="1"/>
    <col min="9" max="9" width="13" bestFit="1" customWidth="1"/>
  </cols>
  <sheetData>
    <row r="1" spans="1:10" x14ac:dyDescent="0.3">
      <c r="A1" s="12" t="s">
        <v>379</v>
      </c>
      <c r="B1" s="12" t="s">
        <v>10</v>
      </c>
      <c r="C1" s="12" t="s">
        <v>8</v>
      </c>
      <c r="D1" s="12" t="s">
        <v>0</v>
      </c>
      <c r="E1" s="13" t="s">
        <v>1</v>
      </c>
      <c r="F1" s="13" t="s">
        <v>4</v>
      </c>
      <c r="G1" s="13" t="s">
        <v>2</v>
      </c>
      <c r="H1" s="13" t="s">
        <v>12</v>
      </c>
      <c r="I1" s="13" t="s">
        <v>3</v>
      </c>
      <c r="J1" s="13" t="s">
        <v>11</v>
      </c>
    </row>
    <row r="2" spans="1:10" x14ac:dyDescent="0.3">
      <c r="A2">
        <f t="shared" ref="A2:A33" si="0">RANK(J2,$J$2:$J$58)</f>
        <v>1</v>
      </c>
      <c r="B2" s="14" t="s">
        <v>402</v>
      </c>
      <c r="C2" s="14" t="s">
        <v>141</v>
      </c>
      <c r="D2" s="14" t="s">
        <v>399</v>
      </c>
      <c r="E2" s="15">
        <v>98.811604334148896</v>
      </c>
      <c r="F2" s="15">
        <v>100</v>
      </c>
      <c r="G2" s="15">
        <v>98.58681022880215</v>
      </c>
      <c r="H2" s="15">
        <v>100</v>
      </c>
      <c r="I2" s="15"/>
      <c r="J2" s="15">
        <f t="shared" ref="J2:J33" si="1">LARGE(E2:I2,1)+LARGE(E2:I2,2)+LARGE(E2:I2,3)</f>
        <v>298.81160433414891</v>
      </c>
    </row>
    <row r="3" spans="1:10" x14ac:dyDescent="0.3">
      <c r="A3">
        <f t="shared" si="0"/>
        <v>2</v>
      </c>
      <c r="B3" s="14" t="s">
        <v>403</v>
      </c>
      <c r="C3" s="14" t="s">
        <v>3</v>
      </c>
      <c r="D3" s="14" t="s">
        <v>399</v>
      </c>
      <c r="E3" s="15">
        <v>98.916462775253393</v>
      </c>
      <c r="F3" s="15">
        <v>96.65</v>
      </c>
      <c r="G3" s="15">
        <v>91.790040376850612</v>
      </c>
      <c r="H3" s="15">
        <v>0</v>
      </c>
      <c r="I3" s="15"/>
      <c r="J3" s="15">
        <f t="shared" si="1"/>
        <v>287.35650315210398</v>
      </c>
    </row>
    <row r="4" spans="1:10" x14ac:dyDescent="0.3">
      <c r="A4">
        <f t="shared" si="0"/>
        <v>3</v>
      </c>
      <c r="B4" s="14" t="s">
        <v>406</v>
      </c>
      <c r="C4" s="14" t="s">
        <v>1</v>
      </c>
      <c r="D4" s="14" t="s">
        <v>399</v>
      </c>
      <c r="E4" s="15">
        <v>94.442502621461017</v>
      </c>
      <c r="F4" s="15">
        <v>98.27</v>
      </c>
      <c r="G4" s="15">
        <v>88.055181695827727</v>
      </c>
      <c r="H4" s="15">
        <v>94.49</v>
      </c>
      <c r="I4" s="15"/>
      <c r="J4" s="15">
        <f t="shared" si="1"/>
        <v>287.20250262146101</v>
      </c>
    </row>
    <row r="5" spans="1:10" x14ac:dyDescent="0.3">
      <c r="A5">
        <f t="shared" si="0"/>
        <v>4</v>
      </c>
      <c r="B5" s="17" t="s">
        <v>401</v>
      </c>
      <c r="C5" s="17" t="s">
        <v>111</v>
      </c>
      <c r="D5" s="14" t="s">
        <v>399</v>
      </c>
      <c r="E5" s="15">
        <v>99.68542467668648</v>
      </c>
      <c r="F5" s="15">
        <v>61.38</v>
      </c>
      <c r="G5" s="15">
        <v>92.563930013458943</v>
      </c>
      <c r="H5" s="15">
        <v>0</v>
      </c>
      <c r="I5" s="15"/>
      <c r="J5" s="15">
        <f t="shared" si="1"/>
        <v>253.62935469014542</v>
      </c>
    </row>
    <row r="6" spans="1:10" x14ac:dyDescent="0.3">
      <c r="A6">
        <f t="shared" si="0"/>
        <v>5</v>
      </c>
      <c r="B6" s="14" t="s">
        <v>410</v>
      </c>
      <c r="C6" s="14" t="s">
        <v>117</v>
      </c>
      <c r="D6" s="14" t="s">
        <v>399</v>
      </c>
      <c r="E6" s="15">
        <v>76.791331702202015</v>
      </c>
      <c r="F6" s="15">
        <v>0</v>
      </c>
      <c r="G6" s="15">
        <v>87.819650067294759</v>
      </c>
      <c r="H6" s="15">
        <v>80.41</v>
      </c>
      <c r="I6" s="15"/>
      <c r="J6" s="15">
        <f t="shared" si="1"/>
        <v>245.02098176949676</v>
      </c>
    </row>
    <row r="7" spans="1:10" x14ac:dyDescent="0.3">
      <c r="A7">
        <f t="shared" si="0"/>
        <v>6</v>
      </c>
      <c r="B7" s="14" t="s">
        <v>409</v>
      </c>
      <c r="C7" s="14" t="s">
        <v>59</v>
      </c>
      <c r="D7" s="14" t="s">
        <v>399</v>
      </c>
      <c r="E7" s="15">
        <v>88.081090527787467</v>
      </c>
      <c r="F7" s="15">
        <v>0</v>
      </c>
      <c r="G7" s="15">
        <v>95.995962314939433</v>
      </c>
      <c r="H7" s="15">
        <v>59.56</v>
      </c>
      <c r="I7" s="15"/>
      <c r="J7" s="15">
        <f t="shared" si="1"/>
        <v>243.63705284272692</v>
      </c>
    </row>
    <row r="8" spans="1:10" x14ac:dyDescent="0.3">
      <c r="A8">
        <f t="shared" si="0"/>
        <v>7</v>
      </c>
      <c r="B8" s="14" t="s">
        <v>416</v>
      </c>
      <c r="C8" s="14" t="s">
        <v>141</v>
      </c>
      <c r="D8" s="14" t="s">
        <v>399</v>
      </c>
      <c r="E8" s="15">
        <v>36.190143306536172</v>
      </c>
      <c r="F8" s="15">
        <v>98.59</v>
      </c>
      <c r="G8" s="15">
        <v>95.928667563930006</v>
      </c>
      <c r="H8" s="15">
        <v>0</v>
      </c>
      <c r="I8" s="15"/>
      <c r="J8" s="15">
        <f t="shared" si="1"/>
        <v>230.70881087046621</v>
      </c>
    </row>
    <row r="9" spans="1:10" x14ac:dyDescent="0.3">
      <c r="A9">
        <f t="shared" si="0"/>
        <v>8</v>
      </c>
      <c r="B9" s="14" t="s">
        <v>404</v>
      </c>
      <c r="C9" s="14" t="s">
        <v>3</v>
      </c>
      <c r="D9" s="14" t="s">
        <v>399</v>
      </c>
      <c r="E9" s="15">
        <v>97.937783991611326</v>
      </c>
      <c r="F9" s="15">
        <v>9.44</v>
      </c>
      <c r="G9" s="15">
        <v>94.313593539703902</v>
      </c>
      <c r="H9" s="15">
        <v>0</v>
      </c>
      <c r="I9" s="15"/>
      <c r="J9" s="15">
        <f t="shared" si="1"/>
        <v>201.69137753131523</v>
      </c>
    </row>
    <row r="10" spans="1:10" x14ac:dyDescent="0.3">
      <c r="A10">
        <f t="shared" si="0"/>
        <v>9</v>
      </c>
      <c r="B10" s="14" t="s">
        <v>412</v>
      </c>
      <c r="C10" s="14" t="s">
        <v>5</v>
      </c>
      <c r="D10" s="14" t="s">
        <v>399</v>
      </c>
      <c r="E10" s="15">
        <v>68.891995805662347</v>
      </c>
      <c r="F10" s="15">
        <v>77.040000000000006</v>
      </c>
      <c r="G10" s="15">
        <v>55.383580080753703</v>
      </c>
      <c r="H10" s="15">
        <v>0</v>
      </c>
      <c r="I10" s="15"/>
      <c r="J10" s="15">
        <f t="shared" si="1"/>
        <v>201.31557588641607</v>
      </c>
    </row>
    <row r="11" spans="1:10" x14ac:dyDescent="0.3">
      <c r="A11">
        <f t="shared" si="0"/>
        <v>10</v>
      </c>
      <c r="B11" s="17" t="s">
        <v>398</v>
      </c>
      <c r="C11" s="17" t="s">
        <v>5</v>
      </c>
      <c r="D11" s="14" t="s">
        <v>399</v>
      </c>
      <c r="E11" s="15">
        <v>99.056274030059399</v>
      </c>
      <c r="F11" s="15">
        <v>0</v>
      </c>
      <c r="G11" s="15">
        <v>0</v>
      </c>
      <c r="H11" s="15">
        <v>98.37</v>
      </c>
      <c r="I11" s="15"/>
      <c r="J11" s="15">
        <f t="shared" si="1"/>
        <v>197.4262740300594</v>
      </c>
    </row>
    <row r="12" spans="1:10" x14ac:dyDescent="0.3">
      <c r="A12">
        <f t="shared" si="0"/>
        <v>11</v>
      </c>
      <c r="B12" s="17" t="s">
        <v>400</v>
      </c>
      <c r="C12" s="17" t="s">
        <v>35</v>
      </c>
      <c r="D12" s="14" t="s">
        <v>399</v>
      </c>
      <c r="E12" s="15">
        <v>100</v>
      </c>
      <c r="F12" s="15">
        <v>96.27</v>
      </c>
      <c r="G12" s="15">
        <v>0</v>
      </c>
      <c r="H12" s="15">
        <v>0</v>
      </c>
      <c r="I12" s="15"/>
      <c r="J12" s="15">
        <f t="shared" si="1"/>
        <v>196.26999999999998</v>
      </c>
    </row>
    <row r="13" spans="1:10" x14ac:dyDescent="0.3">
      <c r="A13">
        <f t="shared" si="0"/>
        <v>12</v>
      </c>
      <c r="B13" s="17" t="s">
        <v>582</v>
      </c>
      <c r="C13" s="17" t="s">
        <v>61</v>
      </c>
      <c r="D13" s="17" t="s">
        <v>399</v>
      </c>
      <c r="E13" s="22">
        <v>0</v>
      </c>
      <c r="F13" s="22">
        <v>99.401408450704224</v>
      </c>
      <c r="G13" s="15">
        <v>0</v>
      </c>
      <c r="H13" s="15">
        <v>93.13</v>
      </c>
      <c r="I13" s="15"/>
      <c r="J13" s="15">
        <f t="shared" si="1"/>
        <v>192.53140845070422</v>
      </c>
    </row>
    <row r="14" spans="1:10" x14ac:dyDescent="0.3">
      <c r="A14">
        <f t="shared" si="0"/>
        <v>13</v>
      </c>
      <c r="B14" s="17" t="s">
        <v>589</v>
      </c>
      <c r="C14" s="17" t="s">
        <v>12</v>
      </c>
      <c r="D14" s="17" t="s">
        <v>399</v>
      </c>
      <c r="E14" s="22">
        <v>0</v>
      </c>
      <c r="F14" s="22">
        <v>93.556338028169023</v>
      </c>
      <c r="G14" s="15">
        <v>91.790040376850612</v>
      </c>
      <c r="H14" s="15">
        <v>0</v>
      </c>
      <c r="I14" s="15"/>
      <c r="J14" s="15">
        <f t="shared" si="1"/>
        <v>185.34637840501964</v>
      </c>
    </row>
    <row r="15" spans="1:10" x14ac:dyDescent="0.3">
      <c r="A15">
        <f t="shared" si="0"/>
        <v>14</v>
      </c>
      <c r="B15" s="17" t="s">
        <v>413</v>
      </c>
      <c r="C15" s="14" t="s">
        <v>35</v>
      </c>
      <c r="D15" s="14" t="s">
        <v>399</v>
      </c>
      <c r="E15" s="15">
        <v>65.606431317721075</v>
      </c>
      <c r="F15" s="15">
        <v>0</v>
      </c>
      <c r="G15" s="15">
        <v>100</v>
      </c>
      <c r="H15" s="15">
        <v>0</v>
      </c>
      <c r="I15" s="15"/>
      <c r="J15" s="15">
        <f t="shared" si="1"/>
        <v>165.60643131772107</v>
      </c>
    </row>
    <row r="16" spans="1:10" x14ac:dyDescent="0.3">
      <c r="A16">
        <f t="shared" si="0"/>
        <v>15</v>
      </c>
      <c r="B16" s="17" t="s">
        <v>405</v>
      </c>
      <c r="C16" s="14" t="s">
        <v>19</v>
      </c>
      <c r="D16" s="14" t="s">
        <v>399</v>
      </c>
      <c r="E16" s="15">
        <v>96.714435512058728</v>
      </c>
      <c r="F16" s="15">
        <v>60.04</v>
      </c>
      <c r="G16" s="15">
        <v>0</v>
      </c>
      <c r="H16" s="15">
        <v>0</v>
      </c>
      <c r="I16" s="15"/>
      <c r="J16" s="15">
        <f t="shared" si="1"/>
        <v>156.75443551205873</v>
      </c>
    </row>
    <row r="17" spans="1:10" x14ac:dyDescent="0.3">
      <c r="A17">
        <f t="shared" si="0"/>
        <v>16</v>
      </c>
      <c r="B17" s="17" t="s">
        <v>408</v>
      </c>
      <c r="C17" s="17" t="s">
        <v>46</v>
      </c>
      <c r="D17" s="17" t="s">
        <v>399</v>
      </c>
      <c r="E17" s="22">
        <v>91.890947221251309</v>
      </c>
      <c r="F17" s="22">
        <v>0</v>
      </c>
      <c r="G17" s="15">
        <v>47.846567967698512</v>
      </c>
      <c r="H17" s="15">
        <v>0</v>
      </c>
      <c r="I17" s="15"/>
      <c r="J17" s="15">
        <f t="shared" si="1"/>
        <v>139.73751518894983</v>
      </c>
    </row>
    <row r="18" spans="1:10" x14ac:dyDescent="0.3">
      <c r="A18">
        <f t="shared" si="0"/>
        <v>17</v>
      </c>
      <c r="B18" s="45" t="s">
        <v>783</v>
      </c>
      <c r="C18" s="42" t="s">
        <v>5</v>
      </c>
      <c r="D18" s="42" t="s">
        <v>399</v>
      </c>
      <c r="E18" s="22">
        <v>0</v>
      </c>
      <c r="F18" s="22">
        <v>0</v>
      </c>
      <c r="G18" s="22">
        <v>0</v>
      </c>
      <c r="H18" s="44">
        <v>95.31</v>
      </c>
      <c r="J18" s="15">
        <f t="shared" si="1"/>
        <v>95.31</v>
      </c>
    </row>
    <row r="19" spans="1:10" x14ac:dyDescent="0.3">
      <c r="A19">
        <f t="shared" si="0"/>
        <v>18</v>
      </c>
      <c r="B19" s="45" t="s">
        <v>785</v>
      </c>
      <c r="C19" s="42" t="s">
        <v>111</v>
      </c>
      <c r="D19" s="17" t="s">
        <v>399</v>
      </c>
      <c r="E19" s="22">
        <v>0</v>
      </c>
      <c r="F19" s="22">
        <v>0</v>
      </c>
      <c r="G19" s="22">
        <v>0</v>
      </c>
      <c r="H19" s="15">
        <v>94.081632653061206</v>
      </c>
      <c r="J19" s="15">
        <f t="shared" si="1"/>
        <v>94.081632653061206</v>
      </c>
    </row>
    <row r="20" spans="1:10" x14ac:dyDescent="0.3">
      <c r="A20">
        <f t="shared" si="0"/>
        <v>19</v>
      </c>
      <c r="B20" s="17" t="s">
        <v>407</v>
      </c>
      <c r="C20" s="14" t="s">
        <v>12</v>
      </c>
      <c r="D20" s="14" t="s">
        <v>399</v>
      </c>
      <c r="E20" s="15">
        <v>93.009437259699382</v>
      </c>
      <c r="F20" s="15">
        <v>0</v>
      </c>
      <c r="G20" s="15">
        <v>0</v>
      </c>
      <c r="H20" s="15">
        <v>0</v>
      </c>
      <c r="I20" s="15"/>
      <c r="J20" s="15">
        <f t="shared" si="1"/>
        <v>93.009437259699382</v>
      </c>
    </row>
    <row r="21" spans="1:10" x14ac:dyDescent="0.3">
      <c r="A21">
        <f t="shared" si="0"/>
        <v>20</v>
      </c>
      <c r="B21" s="45" t="s">
        <v>787</v>
      </c>
      <c r="C21" s="42" t="s">
        <v>495</v>
      </c>
      <c r="D21" s="14" t="s">
        <v>399</v>
      </c>
      <c r="E21" s="22">
        <v>0</v>
      </c>
      <c r="F21" s="22">
        <v>0</v>
      </c>
      <c r="G21" s="22">
        <v>0</v>
      </c>
      <c r="H21" s="15">
        <v>92.551020408163282</v>
      </c>
      <c r="J21" s="15">
        <f t="shared" si="1"/>
        <v>92.551020408163282</v>
      </c>
    </row>
    <row r="22" spans="1:10" x14ac:dyDescent="0.3">
      <c r="A22">
        <f t="shared" si="0"/>
        <v>21</v>
      </c>
      <c r="B22" s="45" t="s">
        <v>786</v>
      </c>
      <c r="C22" s="42" t="s">
        <v>160</v>
      </c>
      <c r="D22" s="42" t="s">
        <v>399</v>
      </c>
      <c r="E22" s="22">
        <v>0</v>
      </c>
      <c r="F22" s="22">
        <v>0</v>
      </c>
      <c r="G22" s="22">
        <v>0</v>
      </c>
      <c r="H22" s="15">
        <v>91.530612244897952</v>
      </c>
      <c r="J22" s="15">
        <f t="shared" si="1"/>
        <v>91.530612244897952</v>
      </c>
    </row>
    <row r="23" spans="1:10" x14ac:dyDescent="0.3">
      <c r="A23">
        <f t="shared" si="0"/>
        <v>22</v>
      </c>
      <c r="B23" s="17" t="s">
        <v>590</v>
      </c>
      <c r="C23" s="17" t="s">
        <v>3</v>
      </c>
      <c r="D23" s="17" t="s">
        <v>399</v>
      </c>
      <c r="E23" s="22">
        <v>0</v>
      </c>
      <c r="F23" s="22">
        <v>89.612676056338017</v>
      </c>
      <c r="G23" s="15">
        <v>0</v>
      </c>
      <c r="H23" s="15">
        <v>0</v>
      </c>
      <c r="I23" s="15"/>
      <c r="J23" s="15">
        <f t="shared" si="1"/>
        <v>89.612676056338017</v>
      </c>
    </row>
    <row r="24" spans="1:10" x14ac:dyDescent="0.3">
      <c r="A24">
        <f t="shared" si="0"/>
        <v>23</v>
      </c>
      <c r="B24" s="45" t="s">
        <v>788</v>
      </c>
      <c r="C24" s="42" t="s">
        <v>12</v>
      </c>
      <c r="D24" s="17" t="s">
        <v>399</v>
      </c>
      <c r="E24" s="22">
        <v>0</v>
      </c>
      <c r="F24" s="22">
        <v>0</v>
      </c>
      <c r="G24" s="22">
        <v>0</v>
      </c>
      <c r="H24" s="15">
        <v>86.598639455782319</v>
      </c>
      <c r="J24" s="15">
        <f t="shared" si="1"/>
        <v>86.598639455782319</v>
      </c>
    </row>
    <row r="25" spans="1:10" x14ac:dyDescent="0.3">
      <c r="A25">
        <f t="shared" si="0"/>
        <v>24</v>
      </c>
      <c r="B25" s="45" t="s">
        <v>789</v>
      </c>
      <c r="C25" s="42" t="s">
        <v>12</v>
      </c>
      <c r="D25" s="42" t="s">
        <v>399</v>
      </c>
      <c r="E25" s="22">
        <v>0</v>
      </c>
      <c r="F25" s="22">
        <v>0</v>
      </c>
      <c r="G25" s="22">
        <v>0</v>
      </c>
      <c r="H25" s="15">
        <v>85.884353741496611</v>
      </c>
      <c r="J25" s="15">
        <f t="shared" si="1"/>
        <v>85.884353741496611</v>
      </c>
    </row>
    <row r="26" spans="1:10" x14ac:dyDescent="0.3">
      <c r="A26">
        <f t="shared" si="0"/>
        <v>25</v>
      </c>
      <c r="B26" s="45" t="s">
        <v>790</v>
      </c>
      <c r="C26" s="42" t="s">
        <v>3</v>
      </c>
      <c r="D26" s="14" t="s">
        <v>399</v>
      </c>
      <c r="E26" s="22">
        <v>0</v>
      </c>
      <c r="F26" s="22">
        <v>0</v>
      </c>
      <c r="G26" s="22">
        <v>0</v>
      </c>
      <c r="H26" s="15">
        <v>84.217687074829925</v>
      </c>
      <c r="J26" s="15">
        <f t="shared" si="1"/>
        <v>84.217687074829925</v>
      </c>
    </row>
    <row r="27" spans="1:10" x14ac:dyDescent="0.3">
      <c r="A27">
        <f t="shared" si="0"/>
        <v>26</v>
      </c>
      <c r="B27" s="45" t="s">
        <v>653</v>
      </c>
      <c r="C27" s="42" t="s">
        <v>126</v>
      </c>
      <c r="D27" s="42" t="s">
        <v>399</v>
      </c>
      <c r="E27" s="22">
        <v>0</v>
      </c>
      <c r="F27" s="22">
        <v>0</v>
      </c>
      <c r="G27" s="15">
        <v>80.080753701211307</v>
      </c>
      <c r="H27" s="15">
        <v>0</v>
      </c>
      <c r="J27" s="15">
        <f t="shared" si="1"/>
        <v>80.080753701211307</v>
      </c>
    </row>
    <row r="28" spans="1:10" x14ac:dyDescent="0.3">
      <c r="A28">
        <f t="shared" si="0"/>
        <v>27</v>
      </c>
      <c r="B28" s="45" t="s">
        <v>654</v>
      </c>
      <c r="C28" s="42" t="s">
        <v>77</v>
      </c>
      <c r="D28" s="42" t="s">
        <v>399</v>
      </c>
      <c r="E28" s="22">
        <v>0</v>
      </c>
      <c r="F28" s="22">
        <v>0</v>
      </c>
      <c r="G28" s="15">
        <v>69.414535666218043</v>
      </c>
      <c r="H28" s="44">
        <v>0</v>
      </c>
      <c r="J28" s="15">
        <f t="shared" si="1"/>
        <v>69.414535666218043</v>
      </c>
    </row>
    <row r="29" spans="1:10" x14ac:dyDescent="0.3">
      <c r="A29">
        <f t="shared" si="0"/>
        <v>28</v>
      </c>
      <c r="B29" s="45" t="s">
        <v>655</v>
      </c>
      <c r="C29" s="42" t="s">
        <v>61</v>
      </c>
      <c r="D29" s="42" t="s">
        <v>399</v>
      </c>
      <c r="E29" s="22">
        <v>0</v>
      </c>
      <c r="F29" s="22">
        <v>0</v>
      </c>
      <c r="G29" s="15">
        <v>65.612382234185731</v>
      </c>
      <c r="H29" s="15">
        <v>0</v>
      </c>
      <c r="J29" s="15">
        <f t="shared" si="1"/>
        <v>65.612382234185731</v>
      </c>
    </row>
    <row r="30" spans="1:10" x14ac:dyDescent="0.3">
      <c r="A30">
        <f t="shared" si="0"/>
        <v>29</v>
      </c>
      <c r="B30" s="45" t="s">
        <v>656</v>
      </c>
      <c r="C30" s="42" t="s">
        <v>61</v>
      </c>
      <c r="D30" s="42" t="s">
        <v>399</v>
      </c>
      <c r="E30" s="22">
        <v>0</v>
      </c>
      <c r="F30" s="22">
        <v>0</v>
      </c>
      <c r="G30" s="15">
        <v>60.598923283983851</v>
      </c>
      <c r="H30" s="15">
        <v>0</v>
      </c>
      <c r="J30" s="15">
        <f t="shared" si="1"/>
        <v>60.598923283983851</v>
      </c>
    </row>
    <row r="31" spans="1:10" x14ac:dyDescent="0.3">
      <c r="A31">
        <f t="shared" si="0"/>
        <v>30</v>
      </c>
      <c r="B31" s="17" t="s">
        <v>414</v>
      </c>
      <c r="C31" s="14" t="s">
        <v>1</v>
      </c>
      <c r="D31" s="14" t="s">
        <v>399</v>
      </c>
      <c r="E31" s="15">
        <v>55.574973785389723</v>
      </c>
      <c r="F31" s="15">
        <v>0</v>
      </c>
      <c r="G31" s="15">
        <v>0</v>
      </c>
      <c r="H31" s="15">
        <v>0</v>
      </c>
      <c r="I31" s="15"/>
      <c r="J31" s="15">
        <f t="shared" si="1"/>
        <v>55.574973785389723</v>
      </c>
    </row>
    <row r="32" spans="1:10" x14ac:dyDescent="0.3">
      <c r="A32">
        <f t="shared" si="0"/>
        <v>31</v>
      </c>
      <c r="B32" s="17" t="s">
        <v>415</v>
      </c>
      <c r="C32" s="14" t="s">
        <v>1</v>
      </c>
      <c r="D32" s="14" t="s">
        <v>399</v>
      </c>
      <c r="E32" s="15">
        <v>53.128276826284512</v>
      </c>
      <c r="F32" s="15">
        <v>0</v>
      </c>
      <c r="G32" s="15">
        <v>0</v>
      </c>
      <c r="H32" s="15">
        <v>0</v>
      </c>
      <c r="I32" s="15"/>
      <c r="J32" s="15">
        <f t="shared" si="1"/>
        <v>53.128276826284512</v>
      </c>
    </row>
    <row r="33" spans="1:10" x14ac:dyDescent="0.3">
      <c r="A33">
        <f t="shared" si="0"/>
        <v>32</v>
      </c>
      <c r="B33" s="45" t="s">
        <v>657</v>
      </c>
      <c r="C33" s="42" t="s">
        <v>2</v>
      </c>
      <c r="D33" s="42" t="s">
        <v>399</v>
      </c>
      <c r="E33" s="22">
        <v>0</v>
      </c>
      <c r="F33" s="22">
        <v>0</v>
      </c>
      <c r="G33" s="15">
        <v>50.572005383580077</v>
      </c>
      <c r="H33" s="15">
        <v>0</v>
      </c>
      <c r="J33" s="15">
        <f t="shared" si="1"/>
        <v>50.572005383580077</v>
      </c>
    </row>
    <row r="34" spans="1:10" x14ac:dyDescent="0.3">
      <c r="A34">
        <f t="shared" ref="A34:A58" si="2">RANK(J34,$J$2:$J$58)</f>
        <v>33</v>
      </c>
      <c r="B34" s="45" t="s">
        <v>793</v>
      </c>
      <c r="C34" s="42" t="s">
        <v>495</v>
      </c>
      <c r="D34" s="14" t="s">
        <v>399</v>
      </c>
      <c r="E34" s="22">
        <v>0</v>
      </c>
      <c r="F34" s="22">
        <v>0</v>
      </c>
      <c r="G34" s="22">
        <v>0</v>
      </c>
      <c r="H34" s="15">
        <v>44.523809523809526</v>
      </c>
      <c r="J34" s="15">
        <f t="shared" ref="J34:J58" si="3">LARGE(E34:I34,1)+LARGE(E34:I34,2)+LARGE(E34:I34,3)</f>
        <v>44.523809523809526</v>
      </c>
    </row>
    <row r="35" spans="1:10" x14ac:dyDescent="0.3">
      <c r="A35">
        <f t="shared" si="2"/>
        <v>34</v>
      </c>
      <c r="B35" s="45" t="s">
        <v>792</v>
      </c>
      <c r="C35" s="42" t="s">
        <v>3</v>
      </c>
      <c r="D35" s="42" t="s">
        <v>399</v>
      </c>
      <c r="E35" s="22">
        <v>0</v>
      </c>
      <c r="F35" s="22">
        <v>0</v>
      </c>
      <c r="G35" s="22">
        <v>0</v>
      </c>
      <c r="H35" s="15">
        <v>43.435374149659857</v>
      </c>
      <c r="J35" s="15">
        <f t="shared" si="3"/>
        <v>43.435374149659857</v>
      </c>
    </row>
    <row r="36" spans="1:10" x14ac:dyDescent="0.3">
      <c r="A36">
        <f t="shared" si="2"/>
        <v>35</v>
      </c>
      <c r="B36" s="45" t="s">
        <v>658</v>
      </c>
      <c r="C36" s="42" t="s">
        <v>3</v>
      </c>
      <c r="D36" s="42" t="s">
        <v>399</v>
      </c>
      <c r="E36" s="22">
        <v>0</v>
      </c>
      <c r="F36" s="22">
        <v>0</v>
      </c>
      <c r="G36" s="15">
        <v>33.849259757738899</v>
      </c>
      <c r="H36" s="15">
        <v>0</v>
      </c>
      <c r="J36" s="15">
        <f t="shared" si="3"/>
        <v>33.849259757738899</v>
      </c>
    </row>
    <row r="37" spans="1:10" x14ac:dyDescent="0.3">
      <c r="A37">
        <f t="shared" si="2"/>
        <v>36</v>
      </c>
      <c r="B37" s="17" t="s">
        <v>583</v>
      </c>
      <c r="C37" s="17" t="s">
        <v>131</v>
      </c>
      <c r="D37" s="17" t="s">
        <v>399</v>
      </c>
      <c r="E37" s="22">
        <v>0</v>
      </c>
      <c r="F37" s="22">
        <v>30.35211267605634</v>
      </c>
      <c r="G37" s="15">
        <v>0</v>
      </c>
      <c r="H37" s="15">
        <v>0</v>
      </c>
      <c r="I37" s="15"/>
      <c r="J37" s="15">
        <f t="shared" si="3"/>
        <v>30.35211267605634</v>
      </c>
    </row>
    <row r="38" spans="1:10" x14ac:dyDescent="0.3">
      <c r="A38">
        <f t="shared" si="2"/>
        <v>37</v>
      </c>
      <c r="B38" s="17" t="s">
        <v>417</v>
      </c>
      <c r="C38" s="14" t="s">
        <v>3</v>
      </c>
      <c r="D38" s="14" t="s">
        <v>399</v>
      </c>
      <c r="E38" s="15">
        <v>21.426074799021318</v>
      </c>
      <c r="F38" s="15">
        <v>0</v>
      </c>
      <c r="G38" s="15">
        <v>0</v>
      </c>
      <c r="H38" s="15">
        <v>0</v>
      </c>
      <c r="I38" s="15"/>
      <c r="J38" s="15">
        <f t="shared" si="3"/>
        <v>21.426074799021318</v>
      </c>
    </row>
    <row r="39" spans="1:10" x14ac:dyDescent="0.3">
      <c r="A39">
        <f t="shared" si="2"/>
        <v>38</v>
      </c>
      <c r="B39" s="45" t="s">
        <v>652</v>
      </c>
      <c r="C39" s="42" t="s">
        <v>3</v>
      </c>
      <c r="D39" s="42" t="s">
        <v>399</v>
      </c>
      <c r="E39" s="22">
        <v>0</v>
      </c>
      <c r="F39" s="22">
        <v>0</v>
      </c>
      <c r="G39" s="15">
        <v>0</v>
      </c>
      <c r="H39" s="44">
        <v>15.48</v>
      </c>
      <c r="J39" s="15">
        <f t="shared" si="3"/>
        <v>15.48</v>
      </c>
    </row>
    <row r="40" spans="1:10" x14ac:dyDescent="0.3">
      <c r="A40">
        <f t="shared" si="2"/>
        <v>39</v>
      </c>
      <c r="B40" s="17" t="s">
        <v>411</v>
      </c>
      <c r="C40" s="14" t="s">
        <v>1</v>
      </c>
      <c r="D40" s="14" t="s">
        <v>399</v>
      </c>
      <c r="E40" s="15">
        <v>0</v>
      </c>
      <c r="F40" s="15">
        <v>0</v>
      </c>
      <c r="G40" s="15">
        <v>0</v>
      </c>
      <c r="H40" s="15">
        <v>0</v>
      </c>
      <c r="I40" s="15"/>
      <c r="J40" s="15">
        <f t="shared" si="3"/>
        <v>0</v>
      </c>
    </row>
    <row r="41" spans="1:10" x14ac:dyDescent="0.3">
      <c r="A41">
        <f t="shared" si="2"/>
        <v>39</v>
      </c>
      <c r="B41" s="45" t="s">
        <v>651</v>
      </c>
      <c r="C41" s="42" t="s">
        <v>3</v>
      </c>
      <c r="D41" s="42" t="s">
        <v>399</v>
      </c>
      <c r="E41" s="22">
        <v>0</v>
      </c>
      <c r="F41" s="22">
        <v>0</v>
      </c>
      <c r="G41" s="15">
        <v>0</v>
      </c>
      <c r="H41" s="15">
        <v>0</v>
      </c>
      <c r="J41" s="15">
        <f t="shared" si="3"/>
        <v>0</v>
      </c>
    </row>
    <row r="42" spans="1:10" x14ac:dyDescent="0.3">
      <c r="A42">
        <f t="shared" si="2"/>
        <v>39</v>
      </c>
      <c r="B42" s="45" t="s">
        <v>661</v>
      </c>
      <c r="C42" s="42" t="s">
        <v>14</v>
      </c>
      <c r="D42" s="42" t="s">
        <v>399</v>
      </c>
      <c r="E42" s="22">
        <v>0</v>
      </c>
      <c r="F42" s="22">
        <v>0</v>
      </c>
      <c r="G42" s="15">
        <v>0</v>
      </c>
      <c r="H42" s="15">
        <v>0</v>
      </c>
      <c r="J42" s="15">
        <f t="shared" si="3"/>
        <v>0</v>
      </c>
    </row>
    <row r="43" spans="1:10" x14ac:dyDescent="0.3">
      <c r="A43">
        <f t="shared" si="2"/>
        <v>39</v>
      </c>
      <c r="B43" s="45" t="s">
        <v>648</v>
      </c>
      <c r="C43" s="45" t="s">
        <v>61</v>
      </c>
      <c r="D43" s="42" t="s">
        <v>399</v>
      </c>
      <c r="E43" s="22">
        <v>0</v>
      </c>
      <c r="F43" s="22">
        <v>0</v>
      </c>
      <c r="G43" s="15">
        <v>0</v>
      </c>
      <c r="H43" s="15">
        <v>0</v>
      </c>
      <c r="J43" s="15">
        <f t="shared" si="3"/>
        <v>0</v>
      </c>
    </row>
    <row r="44" spans="1:10" x14ac:dyDescent="0.3">
      <c r="A44">
        <f t="shared" si="2"/>
        <v>39</v>
      </c>
      <c r="B44" s="17" t="s">
        <v>584</v>
      </c>
      <c r="C44" s="17" t="s">
        <v>3</v>
      </c>
      <c r="D44" s="17" t="s">
        <v>399</v>
      </c>
      <c r="E44" s="22">
        <v>0</v>
      </c>
      <c r="F44" s="22">
        <v>0</v>
      </c>
      <c r="G44" s="15">
        <v>0</v>
      </c>
      <c r="H44" s="15">
        <v>0</v>
      </c>
      <c r="I44" s="15"/>
      <c r="J44" s="15">
        <f t="shared" si="3"/>
        <v>0</v>
      </c>
    </row>
    <row r="45" spans="1:10" x14ac:dyDescent="0.3">
      <c r="A45">
        <f t="shared" si="2"/>
        <v>39</v>
      </c>
      <c r="B45" s="17" t="s">
        <v>585</v>
      </c>
      <c r="C45" s="17" t="s">
        <v>5</v>
      </c>
      <c r="D45" s="17" t="s">
        <v>399</v>
      </c>
      <c r="E45" s="22">
        <v>0</v>
      </c>
      <c r="F45" s="22">
        <v>0</v>
      </c>
      <c r="G45" s="15">
        <v>0</v>
      </c>
      <c r="H45" s="15">
        <v>0</v>
      </c>
      <c r="I45" s="15"/>
      <c r="J45" s="15">
        <f t="shared" si="3"/>
        <v>0</v>
      </c>
    </row>
    <row r="46" spans="1:10" x14ac:dyDescent="0.3">
      <c r="A46">
        <f t="shared" si="2"/>
        <v>39</v>
      </c>
      <c r="B46" s="45" t="s">
        <v>659</v>
      </c>
      <c r="C46" s="42" t="s">
        <v>59</v>
      </c>
      <c r="D46" s="42" t="s">
        <v>399</v>
      </c>
      <c r="E46" s="22">
        <v>0</v>
      </c>
      <c r="F46" s="22">
        <v>0</v>
      </c>
      <c r="G46" s="15">
        <v>0</v>
      </c>
      <c r="H46" s="15">
        <v>0</v>
      </c>
      <c r="J46" s="15">
        <f t="shared" si="3"/>
        <v>0</v>
      </c>
    </row>
    <row r="47" spans="1:10" x14ac:dyDescent="0.3">
      <c r="A47">
        <f t="shared" si="2"/>
        <v>39</v>
      </c>
      <c r="B47" s="17" t="s">
        <v>586</v>
      </c>
      <c r="C47" s="17" t="s">
        <v>141</v>
      </c>
      <c r="D47" s="17" t="s">
        <v>399</v>
      </c>
      <c r="E47" s="22">
        <v>0</v>
      </c>
      <c r="F47" s="22">
        <v>0</v>
      </c>
      <c r="G47" s="15">
        <v>0</v>
      </c>
      <c r="H47" s="15">
        <v>0</v>
      </c>
      <c r="I47" s="15"/>
      <c r="J47" s="15">
        <f t="shared" si="3"/>
        <v>0</v>
      </c>
    </row>
    <row r="48" spans="1:10" x14ac:dyDescent="0.3">
      <c r="A48">
        <f t="shared" si="2"/>
        <v>39</v>
      </c>
      <c r="B48" s="45" t="s">
        <v>650</v>
      </c>
      <c r="C48" s="42" t="s">
        <v>126</v>
      </c>
      <c r="D48" s="42" t="s">
        <v>399</v>
      </c>
      <c r="E48" s="22">
        <v>0</v>
      </c>
      <c r="F48" s="22">
        <v>0</v>
      </c>
      <c r="G48" s="15">
        <v>0</v>
      </c>
      <c r="H48" s="15">
        <v>0</v>
      </c>
      <c r="J48" s="15">
        <f t="shared" si="3"/>
        <v>0</v>
      </c>
    </row>
    <row r="49" spans="1:10" x14ac:dyDescent="0.3">
      <c r="A49">
        <f t="shared" si="2"/>
        <v>39</v>
      </c>
      <c r="B49" s="17" t="s">
        <v>587</v>
      </c>
      <c r="C49" s="17" t="s">
        <v>4</v>
      </c>
      <c r="D49" s="17" t="s">
        <v>399</v>
      </c>
      <c r="E49" s="22">
        <v>0</v>
      </c>
      <c r="F49" s="22">
        <v>0</v>
      </c>
      <c r="G49" s="15">
        <v>0</v>
      </c>
      <c r="H49" s="15">
        <v>0</v>
      </c>
      <c r="I49" s="15"/>
      <c r="J49" s="15">
        <f t="shared" si="3"/>
        <v>0</v>
      </c>
    </row>
    <row r="50" spans="1:10" x14ac:dyDescent="0.3">
      <c r="A50">
        <f t="shared" si="2"/>
        <v>39</v>
      </c>
      <c r="B50" s="45" t="s">
        <v>660</v>
      </c>
      <c r="C50" s="42" t="s">
        <v>19</v>
      </c>
      <c r="D50" s="42" t="s">
        <v>399</v>
      </c>
      <c r="E50" s="22">
        <v>0</v>
      </c>
      <c r="F50" s="22">
        <v>0</v>
      </c>
      <c r="G50" s="15">
        <v>0</v>
      </c>
      <c r="H50" s="15">
        <v>0</v>
      </c>
      <c r="J50" s="15">
        <f t="shared" si="3"/>
        <v>0</v>
      </c>
    </row>
    <row r="51" spans="1:10" x14ac:dyDescent="0.3">
      <c r="A51">
        <f t="shared" si="2"/>
        <v>39</v>
      </c>
      <c r="B51" s="17" t="s">
        <v>588</v>
      </c>
      <c r="C51" s="17" t="s">
        <v>1</v>
      </c>
      <c r="D51" s="17" t="s">
        <v>399</v>
      </c>
      <c r="E51" s="22">
        <v>0</v>
      </c>
      <c r="F51" s="22">
        <v>0</v>
      </c>
      <c r="G51" s="15">
        <v>0</v>
      </c>
      <c r="H51" s="15">
        <v>0</v>
      </c>
      <c r="I51" s="15"/>
      <c r="J51" s="15">
        <f t="shared" si="3"/>
        <v>0</v>
      </c>
    </row>
    <row r="52" spans="1:10" x14ac:dyDescent="0.3">
      <c r="A52">
        <f t="shared" si="2"/>
        <v>39</v>
      </c>
      <c r="B52" s="17" t="s">
        <v>591</v>
      </c>
      <c r="C52" s="17" t="s">
        <v>484</v>
      </c>
      <c r="D52" s="17" t="s">
        <v>399</v>
      </c>
      <c r="E52" s="22">
        <v>0</v>
      </c>
      <c r="F52" s="22">
        <v>0</v>
      </c>
      <c r="G52" s="15">
        <v>0</v>
      </c>
      <c r="H52" s="15">
        <v>0</v>
      </c>
      <c r="I52" s="15"/>
      <c r="J52" s="15">
        <f t="shared" si="3"/>
        <v>0</v>
      </c>
    </row>
    <row r="53" spans="1:10" x14ac:dyDescent="0.3">
      <c r="A53">
        <f t="shared" si="2"/>
        <v>39</v>
      </c>
      <c r="B53" s="45" t="s">
        <v>649</v>
      </c>
      <c r="C53" s="42" t="s">
        <v>35</v>
      </c>
      <c r="D53" s="42" t="s">
        <v>399</v>
      </c>
      <c r="E53" s="22">
        <v>0</v>
      </c>
      <c r="F53" s="22">
        <v>0</v>
      </c>
      <c r="G53" s="15">
        <v>0</v>
      </c>
      <c r="H53" s="15">
        <v>0</v>
      </c>
      <c r="J53" s="15">
        <f t="shared" si="3"/>
        <v>0</v>
      </c>
    </row>
    <row r="54" spans="1:10" x14ac:dyDescent="0.3">
      <c r="A54">
        <f t="shared" si="2"/>
        <v>39</v>
      </c>
      <c r="B54" s="45" t="s">
        <v>784</v>
      </c>
      <c r="C54" s="42" t="s">
        <v>1</v>
      </c>
      <c r="D54" s="14" t="s">
        <v>399</v>
      </c>
      <c r="E54" s="22">
        <v>0</v>
      </c>
      <c r="F54" s="22">
        <v>0</v>
      </c>
      <c r="G54" s="22">
        <v>0</v>
      </c>
      <c r="H54" s="44">
        <v>0</v>
      </c>
      <c r="J54" s="15">
        <f t="shared" si="3"/>
        <v>0</v>
      </c>
    </row>
    <row r="55" spans="1:10" x14ac:dyDescent="0.3">
      <c r="A55">
        <f t="shared" si="2"/>
        <v>39</v>
      </c>
      <c r="B55" s="45" t="s">
        <v>791</v>
      </c>
      <c r="C55" s="42" t="s">
        <v>12</v>
      </c>
      <c r="D55" s="17" t="s">
        <v>399</v>
      </c>
      <c r="E55" s="22">
        <v>0</v>
      </c>
      <c r="F55" s="22">
        <v>0</v>
      </c>
      <c r="G55" s="22">
        <v>0</v>
      </c>
      <c r="H55" s="15">
        <v>0</v>
      </c>
      <c r="J55" s="15">
        <f t="shared" si="3"/>
        <v>0</v>
      </c>
    </row>
    <row r="56" spans="1:10" x14ac:dyDescent="0.3">
      <c r="A56">
        <f t="shared" si="2"/>
        <v>39</v>
      </c>
      <c r="B56" s="45" t="s">
        <v>794</v>
      </c>
      <c r="C56" s="42" t="s">
        <v>12</v>
      </c>
      <c r="D56" s="17" t="s">
        <v>399</v>
      </c>
      <c r="E56" s="22">
        <v>0</v>
      </c>
      <c r="F56" s="22">
        <v>0</v>
      </c>
      <c r="G56" s="22">
        <v>0</v>
      </c>
      <c r="H56" s="15">
        <v>0</v>
      </c>
      <c r="J56" s="15">
        <f t="shared" si="3"/>
        <v>0</v>
      </c>
    </row>
    <row r="57" spans="1:10" x14ac:dyDescent="0.3">
      <c r="A57">
        <f t="shared" si="2"/>
        <v>39</v>
      </c>
      <c r="B57" s="45" t="s">
        <v>795</v>
      </c>
      <c r="C57" s="42" t="s">
        <v>12</v>
      </c>
      <c r="D57" s="42" t="s">
        <v>399</v>
      </c>
      <c r="E57" s="22">
        <v>0</v>
      </c>
      <c r="F57" s="22">
        <v>0</v>
      </c>
      <c r="G57" s="22">
        <v>0</v>
      </c>
      <c r="H57" s="15">
        <v>0</v>
      </c>
      <c r="J57" s="15">
        <f t="shared" si="3"/>
        <v>0</v>
      </c>
    </row>
    <row r="58" spans="1:10" x14ac:dyDescent="0.3">
      <c r="A58">
        <f t="shared" si="2"/>
        <v>39</v>
      </c>
      <c r="B58" s="45" t="s">
        <v>796</v>
      </c>
      <c r="C58" s="42" t="s">
        <v>3</v>
      </c>
      <c r="D58" s="14" t="s">
        <v>399</v>
      </c>
      <c r="E58" s="22">
        <v>0</v>
      </c>
      <c r="F58" s="22">
        <v>0</v>
      </c>
      <c r="G58" s="22">
        <v>0</v>
      </c>
      <c r="H58" s="15">
        <v>0</v>
      </c>
      <c r="J58" s="15">
        <f t="shared" si="3"/>
        <v>0</v>
      </c>
    </row>
    <row r="59" spans="1:10" x14ac:dyDescent="0.3">
      <c r="B59" s="21"/>
    </row>
  </sheetData>
  <sortState xmlns:xlrd2="http://schemas.microsoft.com/office/spreadsheetml/2017/richdata2" ref="A2:J58">
    <sortCondition ref="A2"/>
  </sortState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5198F-7876-4C6A-AA44-67BC7850915F}">
  <sheetPr codeName="Sheet11"/>
  <dimension ref="A1:J112"/>
  <sheetViews>
    <sheetView zoomScale="57" workbookViewId="0">
      <selection activeCell="G33" sqref="G33"/>
    </sheetView>
  </sheetViews>
  <sheetFormatPr defaultRowHeight="14.4" x14ac:dyDescent="0.3"/>
  <cols>
    <col min="2" max="2" width="37.6640625" bestFit="1" customWidth="1"/>
    <col min="3" max="3" width="15.109375" bestFit="1" customWidth="1"/>
    <col min="5" max="5" width="9.88671875" bestFit="1" customWidth="1"/>
    <col min="6" max="6" width="9.88671875" customWidth="1"/>
    <col min="7" max="7" width="10.44140625" bestFit="1" customWidth="1"/>
    <col min="8" max="8" width="11.5546875" bestFit="1" customWidth="1"/>
    <col min="9" max="9" width="12.44140625" bestFit="1" customWidth="1"/>
    <col min="10" max="10" width="15.33203125" customWidth="1"/>
  </cols>
  <sheetData>
    <row r="1" spans="1:10" x14ac:dyDescent="0.3">
      <c r="A1" s="12" t="s">
        <v>379</v>
      </c>
      <c r="B1" s="12" t="s">
        <v>10</v>
      </c>
      <c r="C1" s="12" t="s">
        <v>8</v>
      </c>
      <c r="D1" s="12" t="s">
        <v>0</v>
      </c>
      <c r="E1" s="13" t="s">
        <v>1</v>
      </c>
      <c r="F1" s="13" t="s">
        <v>4</v>
      </c>
      <c r="G1" s="13" t="s">
        <v>2</v>
      </c>
      <c r="H1" s="11" t="s">
        <v>12</v>
      </c>
      <c r="I1" s="13" t="s">
        <v>3</v>
      </c>
      <c r="J1" s="13" t="s">
        <v>11</v>
      </c>
    </row>
    <row r="2" spans="1:10" x14ac:dyDescent="0.3">
      <c r="A2">
        <f t="shared" ref="A2:A33" si="0">RANK(J2,$J$2:$J$112)</f>
        <v>1</v>
      </c>
      <c r="B2" s="17" t="s">
        <v>423</v>
      </c>
      <c r="C2" s="17" t="s">
        <v>3</v>
      </c>
      <c r="D2" s="17" t="s">
        <v>419</v>
      </c>
      <c r="E2" s="40">
        <v>98.016806722689068</v>
      </c>
      <c r="F2" s="40">
        <v>97.3</v>
      </c>
      <c r="G2" s="15">
        <v>97.211021505376337</v>
      </c>
      <c r="H2" s="35">
        <v>0</v>
      </c>
      <c r="I2" s="35"/>
      <c r="J2" s="35">
        <f t="shared" ref="J2:J33" si="1">LARGE(E2:I2,1)+LARGE(E2:I2,2)+LARGE(E2:I2,3)</f>
        <v>292.5278282280654</v>
      </c>
    </row>
    <row r="3" spans="1:10" x14ac:dyDescent="0.3">
      <c r="A3">
        <f t="shared" si="0"/>
        <v>2</v>
      </c>
      <c r="B3" s="17" t="s">
        <v>424</v>
      </c>
      <c r="C3" s="17" t="s">
        <v>19</v>
      </c>
      <c r="D3" s="17" t="s">
        <v>419</v>
      </c>
      <c r="E3" s="40">
        <v>97.378151260504197</v>
      </c>
      <c r="F3" s="40">
        <v>95.82</v>
      </c>
      <c r="G3" s="35">
        <v>96.57</v>
      </c>
      <c r="H3" s="35">
        <v>98.01</v>
      </c>
      <c r="I3" s="35"/>
      <c r="J3" s="35">
        <f t="shared" si="1"/>
        <v>291.95815126050422</v>
      </c>
    </row>
    <row r="4" spans="1:10" x14ac:dyDescent="0.3">
      <c r="A4">
        <f t="shared" si="0"/>
        <v>3</v>
      </c>
      <c r="B4" s="17" t="s">
        <v>427</v>
      </c>
      <c r="C4" s="17" t="s">
        <v>117</v>
      </c>
      <c r="D4" s="17" t="s">
        <v>419</v>
      </c>
      <c r="E4" s="40">
        <v>96.403361344537814</v>
      </c>
      <c r="F4" s="40">
        <v>96.09</v>
      </c>
      <c r="G4" s="35">
        <v>92.78</v>
      </c>
      <c r="H4" s="35">
        <v>0</v>
      </c>
      <c r="I4" s="35"/>
      <c r="J4" s="35">
        <f t="shared" si="1"/>
        <v>285.27336134453782</v>
      </c>
    </row>
    <row r="5" spans="1:10" x14ac:dyDescent="0.3">
      <c r="A5">
        <f t="shared" si="0"/>
        <v>4</v>
      </c>
      <c r="B5" s="17" t="s">
        <v>420</v>
      </c>
      <c r="C5" s="17" t="s">
        <v>141</v>
      </c>
      <c r="D5" s="17" t="s">
        <v>419</v>
      </c>
      <c r="E5" s="40">
        <v>99.596638655462186</v>
      </c>
      <c r="F5" s="40">
        <v>85.17</v>
      </c>
      <c r="G5" s="35">
        <v>94.12</v>
      </c>
      <c r="H5" s="35">
        <v>0</v>
      </c>
      <c r="I5" s="35"/>
      <c r="J5" s="35">
        <f t="shared" si="1"/>
        <v>278.88663865546221</v>
      </c>
    </row>
    <row r="6" spans="1:10" x14ac:dyDescent="0.3">
      <c r="A6">
        <f t="shared" si="0"/>
        <v>5</v>
      </c>
      <c r="B6" s="17" t="s">
        <v>615</v>
      </c>
      <c r="C6" s="17" t="s">
        <v>61</v>
      </c>
      <c r="D6" s="17" t="s">
        <v>419</v>
      </c>
      <c r="E6" s="40">
        <v>83.428571428571431</v>
      </c>
      <c r="F6" s="40">
        <v>94.77</v>
      </c>
      <c r="G6" s="15">
        <v>97.513440860215042</v>
      </c>
      <c r="H6" s="35">
        <v>0</v>
      </c>
      <c r="I6" s="35"/>
      <c r="J6" s="35">
        <f t="shared" si="1"/>
        <v>275.71201228878647</v>
      </c>
    </row>
    <row r="7" spans="1:10" x14ac:dyDescent="0.3">
      <c r="A7">
        <f t="shared" si="0"/>
        <v>6</v>
      </c>
      <c r="B7" s="17" t="s">
        <v>433</v>
      </c>
      <c r="C7" s="17" t="s">
        <v>12</v>
      </c>
      <c r="D7" s="17" t="s">
        <v>419</v>
      </c>
      <c r="E7" s="40">
        <v>94.890756302521012</v>
      </c>
      <c r="F7" s="40">
        <v>91.44</v>
      </c>
      <c r="G7" s="35">
        <v>0</v>
      </c>
      <c r="H7" s="35">
        <v>86.8</v>
      </c>
      <c r="I7" s="35"/>
      <c r="J7" s="35">
        <f t="shared" si="1"/>
        <v>273.13075630252104</v>
      </c>
    </row>
    <row r="8" spans="1:10" x14ac:dyDescent="0.3">
      <c r="A8">
        <f t="shared" si="0"/>
        <v>7</v>
      </c>
      <c r="B8" s="17" t="s">
        <v>593</v>
      </c>
      <c r="C8" s="17" t="s">
        <v>19</v>
      </c>
      <c r="D8" s="17" t="s">
        <v>419</v>
      </c>
      <c r="E8" s="40">
        <v>0</v>
      </c>
      <c r="F8" s="40">
        <v>70.869858395144973</v>
      </c>
      <c r="G8" s="15">
        <v>97.009408602150543</v>
      </c>
      <c r="H8" s="35">
        <v>100</v>
      </c>
      <c r="I8" s="35"/>
      <c r="J8" s="35">
        <f t="shared" si="1"/>
        <v>267.87926699729553</v>
      </c>
    </row>
    <row r="9" spans="1:10" x14ac:dyDescent="0.3">
      <c r="A9">
        <f t="shared" si="0"/>
        <v>8</v>
      </c>
      <c r="B9" s="17" t="s">
        <v>596</v>
      </c>
      <c r="C9" s="17" t="s">
        <v>12</v>
      </c>
      <c r="D9" s="17" t="s">
        <v>419</v>
      </c>
      <c r="E9" s="40">
        <v>0</v>
      </c>
      <c r="F9" s="40">
        <v>81.153068105192176</v>
      </c>
      <c r="G9" s="15">
        <v>90.961021505376351</v>
      </c>
      <c r="H9" s="35">
        <v>52.99</v>
      </c>
      <c r="I9" s="35"/>
      <c r="J9" s="35">
        <f t="shared" si="1"/>
        <v>225.10408961056854</v>
      </c>
    </row>
    <row r="10" spans="1:10" x14ac:dyDescent="0.3">
      <c r="A10">
        <f t="shared" si="0"/>
        <v>9</v>
      </c>
      <c r="B10" s="17" t="s">
        <v>421</v>
      </c>
      <c r="C10" s="17" t="s">
        <v>35</v>
      </c>
      <c r="D10" s="17" t="s">
        <v>419</v>
      </c>
      <c r="E10" s="40">
        <v>99.529411764705898</v>
      </c>
      <c r="F10" s="40">
        <v>0</v>
      </c>
      <c r="G10" s="15">
        <v>99.294354838709666</v>
      </c>
      <c r="H10" s="35">
        <v>0</v>
      </c>
      <c r="I10" s="35"/>
      <c r="J10" s="35">
        <f t="shared" si="1"/>
        <v>198.82376660341555</v>
      </c>
    </row>
    <row r="11" spans="1:10" x14ac:dyDescent="0.3">
      <c r="A11">
        <f t="shared" si="0"/>
        <v>10</v>
      </c>
      <c r="B11" s="17" t="s">
        <v>594</v>
      </c>
      <c r="C11" s="17" t="s">
        <v>141</v>
      </c>
      <c r="D11" s="17" t="s">
        <v>419</v>
      </c>
      <c r="E11" s="40">
        <v>0</v>
      </c>
      <c r="F11" s="40">
        <v>94.807821982467956</v>
      </c>
      <c r="G11" s="15">
        <v>99.025537634408607</v>
      </c>
      <c r="H11" s="35">
        <v>0</v>
      </c>
      <c r="I11" s="35"/>
      <c r="J11" s="35">
        <f t="shared" si="1"/>
        <v>193.83335961687658</v>
      </c>
    </row>
    <row r="12" spans="1:10" x14ac:dyDescent="0.3">
      <c r="A12">
        <f t="shared" si="0"/>
        <v>11</v>
      </c>
      <c r="B12" s="17" t="s">
        <v>597</v>
      </c>
      <c r="C12" s="17" t="s">
        <v>495</v>
      </c>
      <c r="D12" s="17" t="s">
        <v>419</v>
      </c>
      <c r="E12" s="40">
        <v>0</v>
      </c>
      <c r="F12" s="40">
        <v>100</v>
      </c>
      <c r="G12" s="35">
        <v>91.67</v>
      </c>
      <c r="H12" s="35">
        <v>0</v>
      </c>
      <c r="I12" s="35"/>
      <c r="J12" s="35">
        <f t="shared" si="1"/>
        <v>191.67000000000002</v>
      </c>
    </row>
    <row r="13" spans="1:10" x14ac:dyDescent="0.3">
      <c r="A13">
        <f t="shared" si="0"/>
        <v>12</v>
      </c>
      <c r="B13" s="42" t="s">
        <v>668</v>
      </c>
      <c r="C13" s="42" t="s">
        <v>5</v>
      </c>
      <c r="D13" s="42" t="s">
        <v>419</v>
      </c>
      <c r="E13" s="40">
        <v>0</v>
      </c>
      <c r="F13" s="40">
        <v>0</v>
      </c>
      <c r="G13" s="15">
        <v>94.825268817204289</v>
      </c>
      <c r="H13" s="35">
        <v>96.28</v>
      </c>
      <c r="J13" s="35">
        <f t="shared" si="1"/>
        <v>191.10526881720429</v>
      </c>
    </row>
    <row r="14" spans="1:10" x14ac:dyDescent="0.3">
      <c r="A14">
        <f t="shared" si="0"/>
        <v>13</v>
      </c>
      <c r="B14" s="42" t="s">
        <v>670</v>
      </c>
      <c r="C14" s="42" t="s">
        <v>19</v>
      </c>
      <c r="D14" s="42" t="s">
        <v>419</v>
      </c>
      <c r="E14" s="40">
        <v>0</v>
      </c>
      <c r="F14" s="40">
        <v>0</v>
      </c>
      <c r="G14" s="15">
        <v>94.892473118279568</v>
      </c>
      <c r="H14" s="35">
        <v>94.72</v>
      </c>
      <c r="J14" s="35">
        <f t="shared" si="1"/>
        <v>189.61247311827958</v>
      </c>
    </row>
    <row r="15" spans="1:10" x14ac:dyDescent="0.3">
      <c r="A15">
        <f t="shared" si="0"/>
        <v>14</v>
      </c>
      <c r="B15" s="17" t="s">
        <v>607</v>
      </c>
      <c r="C15" s="17" t="s">
        <v>493</v>
      </c>
      <c r="D15" s="17" t="s">
        <v>419</v>
      </c>
      <c r="E15" s="40">
        <v>0</v>
      </c>
      <c r="F15" s="40">
        <v>95.380984490896836</v>
      </c>
      <c r="G15" s="15">
        <v>92.607526881720432</v>
      </c>
      <c r="H15" s="35">
        <v>0</v>
      </c>
      <c r="I15" s="35"/>
      <c r="J15" s="35">
        <f t="shared" si="1"/>
        <v>187.98851137261727</v>
      </c>
    </row>
    <row r="16" spans="1:10" x14ac:dyDescent="0.3">
      <c r="A16">
        <f t="shared" si="0"/>
        <v>15</v>
      </c>
      <c r="B16" s="17" t="s">
        <v>604</v>
      </c>
      <c r="C16" s="17" t="s">
        <v>3</v>
      </c>
      <c r="D16" s="17" t="s">
        <v>419</v>
      </c>
      <c r="E16" s="40">
        <v>0</v>
      </c>
      <c r="F16" s="40">
        <v>92.548887390424809</v>
      </c>
      <c r="G16" s="15">
        <v>94.993279569892465</v>
      </c>
      <c r="H16" s="35">
        <v>0</v>
      </c>
      <c r="I16" s="35"/>
      <c r="J16" s="35">
        <f t="shared" si="1"/>
        <v>187.54216696031727</v>
      </c>
    </row>
    <row r="17" spans="1:10" x14ac:dyDescent="0.3">
      <c r="A17">
        <f t="shared" si="0"/>
        <v>16</v>
      </c>
      <c r="B17" s="17" t="s">
        <v>422</v>
      </c>
      <c r="C17" s="17" t="s">
        <v>111</v>
      </c>
      <c r="D17" s="17" t="s">
        <v>419</v>
      </c>
      <c r="E17" s="40">
        <v>98.487394957983199</v>
      </c>
      <c r="F17" s="40">
        <v>83.82</v>
      </c>
      <c r="G17" s="35">
        <v>0</v>
      </c>
      <c r="H17" s="35">
        <v>0</v>
      </c>
      <c r="I17" s="35"/>
      <c r="J17" s="35">
        <f t="shared" si="1"/>
        <v>182.30739495798321</v>
      </c>
    </row>
    <row r="18" spans="1:10" x14ac:dyDescent="0.3">
      <c r="A18">
        <f t="shared" si="0"/>
        <v>17</v>
      </c>
      <c r="B18" s="17" t="s">
        <v>616</v>
      </c>
      <c r="C18" s="17" t="s">
        <v>141</v>
      </c>
      <c r="D18" s="17" t="s">
        <v>419</v>
      </c>
      <c r="E18" s="40">
        <v>0</v>
      </c>
      <c r="F18" s="40">
        <v>81.962238705327039</v>
      </c>
      <c r="G18" s="15">
        <v>97.211021505376337</v>
      </c>
      <c r="H18" s="35">
        <v>0</v>
      </c>
      <c r="I18" s="35"/>
      <c r="J18" s="35">
        <f t="shared" si="1"/>
        <v>179.17326021070338</v>
      </c>
    </row>
    <row r="19" spans="1:10" x14ac:dyDescent="0.3">
      <c r="A19">
        <f t="shared" si="0"/>
        <v>18</v>
      </c>
      <c r="B19" s="17" t="s">
        <v>605</v>
      </c>
      <c r="C19" s="17" t="s">
        <v>131</v>
      </c>
      <c r="D19" s="17" t="s">
        <v>419</v>
      </c>
      <c r="E19" s="40">
        <v>0</v>
      </c>
      <c r="F19" s="40">
        <v>87.188132164531368</v>
      </c>
      <c r="G19" s="35">
        <v>89.78</v>
      </c>
      <c r="H19" s="35">
        <v>0</v>
      </c>
      <c r="I19" s="35"/>
      <c r="J19" s="35">
        <f t="shared" si="1"/>
        <v>176.96813216453137</v>
      </c>
    </row>
    <row r="20" spans="1:10" x14ac:dyDescent="0.3">
      <c r="A20">
        <f t="shared" si="0"/>
        <v>19</v>
      </c>
      <c r="B20" s="17" t="s">
        <v>448</v>
      </c>
      <c r="C20" s="17" t="s">
        <v>160</v>
      </c>
      <c r="D20" s="17" t="s">
        <v>419</v>
      </c>
      <c r="E20" s="40">
        <v>45.983193277310917</v>
      </c>
      <c r="F20" s="40">
        <v>46.73</v>
      </c>
      <c r="G20" s="35">
        <v>0</v>
      </c>
      <c r="H20" s="35">
        <v>81.33</v>
      </c>
      <c r="I20" s="35"/>
      <c r="J20" s="35">
        <f t="shared" si="1"/>
        <v>174.04319327731093</v>
      </c>
    </row>
    <row r="21" spans="1:10" x14ac:dyDescent="0.3">
      <c r="A21">
        <f t="shared" si="0"/>
        <v>20</v>
      </c>
      <c r="B21" s="42" t="s">
        <v>677</v>
      </c>
      <c r="C21" s="42" t="s">
        <v>117</v>
      </c>
      <c r="D21" s="42" t="s">
        <v>419</v>
      </c>
      <c r="E21" s="40">
        <v>0</v>
      </c>
      <c r="F21" s="40">
        <v>0</v>
      </c>
      <c r="G21" s="15">
        <v>91.498655913978482</v>
      </c>
      <c r="H21" s="35">
        <v>80.239999999999995</v>
      </c>
      <c r="J21" s="35">
        <f t="shared" si="1"/>
        <v>171.73865591397848</v>
      </c>
    </row>
    <row r="22" spans="1:10" x14ac:dyDescent="0.3">
      <c r="A22">
        <f t="shared" si="0"/>
        <v>21</v>
      </c>
      <c r="B22" s="17" t="s">
        <v>437</v>
      </c>
      <c r="C22" s="17" t="s">
        <v>141</v>
      </c>
      <c r="D22" s="17" t="s">
        <v>419</v>
      </c>
      <c r="E22" s="40">
        <v>94.319327731092443</v>
      </c>
      <c r="F22" s="40">
        <v>0</v>
      </c>
      <c r="G22" s="15">
        <v>75.571236559139777</v>
      </c>
      <c r="H22" s="35">
        <v>0</v>
      </c>
      <c r="I22" s="35"/>
      <c r="J22" s="35">
        <f t="shared" si="1"/>
        <v>169.89056429023222</v>
      </c>
    </row>
    <row r="23" spans="1:10" x14ac:dyDescent="0.3">
      <c r="A23">
        <f t="shared" si="0"/>
        <v>22</v>
      </c>
      <c r="B23" s="17" t="s">
        <v>443</v>
      </c>
      <c r="C23" s="17" t="s">
        <v>5</v>
      </c>
      <c r="D23" s="17" t="s">
        <v>419</v>
      </c>
      <c r="E23" s="40">
        <v>80.638655462184872</v>
      </c>
      <c r="F23" s="40">
        <v>0</v>
      </c>
      <c r="G23" s="35">
        <v>0</v>
      </c>
      <c r="H23" s="35">
        <v>85.36</v>
      </c>
      <c r="I23" s="35"/>
      <c r="J23" s="35">
        <f t="shared" si="1"/>
        <v>165.99865546218487</v>
      </c>
    </row>
    <row r="24" spans="1:10" x14ac:dyDescent="0.3">
      <c r="A24">
        <f t="shared" si="0"/>
        <v>23</v>
      </c>
      <c r="B24" s="17" t="s">
        <v>425</v>
      </c>
      <c r="C24" s="17" t="s">
        <v>14</v>
      </c>
      <c r="D24" s="17" t="s">
        <v>419</v>
      </c>
      <c r="E24" s="40">
        <v>98.352941176470594</v>
      </c>
      <c r="F24" s="40">
        <v>0</v>
      </c>
      <c r="G24" s="35">
        <v>62.06</v>
      </c>
      <c r="H24" s="35">
        <v>0</v>
      </c>
      <c r="I24" s="35"/>
      <c r="J24" s="35">
        <f t="shared" si="1"/>
        <v>160.41294117647061</v>
      </c>
    </row>
    <row r="25" spans="1:10" x14ac:dyDescent="0.3">
      <c r="A25">
        <f t="shared" si="0"/>
        <v>24</v>
      </c>
      <c r="B25" s="17" t="s">
        <v>445</v>
      </c>
      <c r="C25" s="17" t="s">
        <v>1</v>
      </c>
      <c r="D25" s="17" t="s">
        <v>419</v>
      </c>
      <c r="E25" s="40">
        <v>72</v>
      </c>
      <c r="F25" s="40">
        <v>74.92</v>
      </c>
      <c r="G25" s="35">
        <v>0</v>
      </c>
      <c r="H25" s="35">
        <v>0</v>
      </c>
      <c r="I25" s="35"/>
      <c r="J25" s="35">
        <f t="shared" si="1"/>
        <v>146.92000000000002</v>
      </c>
    </row>
    <row r="26" spans="1:10" x14ac:dyDescent="0.3">
      <c r="A26">
        <f t="shared" si="0"/>
        <v>25</v>
      </c>
      <c r="B26" s="17" t="s">
        <v>608</v>
      </c>
      <c r="C26" s="17" t="s">
        <v>19</v>
      </c>
      <c r="D26" s="17" t="s">
        <v>419</v>
      </c>
      <c r="E26" s="40">
        <v>0</v>
      </c>
      <c r="F26" s="40">
        <v>27.343223196223864</v>
      </c>
      <c r="G26" s="35">
        <v>0</v>
      </c>
      <c r="H26" s="35">
        <v>90.27</v>
      </c>
      <c r="I26" s="35"/>
      <c r="J26" s="35">
        <f t="shared" si="1"/>
        <v>117.61322319622386</v>
      </c>
    </row>
    <row r="27" spans="1:10" x14ac:dyDescent="0.3">
      <c r="A27">
        <f t="shared" si="0"/>
        <v>26</v>
      </c>
      <c r="B27" s="45" t="s">
        <v>662</v>
      </c>
      <c r="C27" s="45" t="s">
        <v>495</v>
      </c>
      <c r="D27" s="42" t="s">
        <v>419</v>
      </c>
      <c r="E27" s="40">
        <v>0</v>
      </c>
      <c r="F27" s="40">
        <v>0</v>
      </c>
      <c r="G27" s="15">
        <v>100</v>
      </c>
      <c r="H27" s="35">
        <v>0</v>
      </c>
      <c r="J27" s="35">
        <f t="shared" si="1"/>
        <v>100</v>
      </c>
    </row>
    <row r="28" spans="1:10" x14ac:dyDescent="0.3">
      <c r="A28">
        <f t="shared" si="0"/>
        <v>26</v>
      </c>
      <c r="B28" s="17" t="s">
        <v>418</v>
      </c>
      <c r="C28" s="17" t="s">
        <v>35</v>
      </c>
      <c r="D28" s="17" t="s">
        <v>419</v>
      </c>
      <c r="E28" s="40">
        <v>100</v>
      </c>
      <c r="F28" s="40">
        <v>0</v>
      </c>
      <c r="G28" s="35">
        <v>0</v>
      </c>
      <c r="H28" s="35">
        <v>0</v>
      </c>
      <c r="I28" s="35"/>
      <c r="J28" s="35">
        <f t="shared" si="1"/>
        <v>100</v>
      </c>
    </row>
    <row r="29" spans="1:10" x14ac:dyDescent="0.3">
      <c r="A29">
        <f t="shared" si="0"/>
        <v>28</v>
      </c>
      <c r="B29" s="17" t="s">
        <v>599</v>
      </c>
      <c r="C29" s="17" t="s">
        <v>35</v>
      </c>
      <c r="D29" s="17" t="s">
        <v>419</v>
      </c>
      <c r="E29" s="40">
        <v>0</v>
      </c>
      <c r="F29" s="40">
        <v>99.730276466621703</v>
      </c>
      <c r="G29" s="35">
        <v>0</v>
      </c>
      <c r="H29" s="35">
        <v>0</v>
      </c>
      <c r="I29" s="35"/>
      <c r="J29" s="35">
        <f t="shared" si="1"/>
        <v>99.730276466621703</v>
      </c>
    </row>
    <row r="30" spans="1:10" x14ac:dyDescent="0.3">
      <c r="A30">
        <f t="shared" si="0"/>
        <v>29</v>
      </c>
      <c r="B30" s="45" t="s">
        <v>663</v>
      </c>
      <c r="C30" s="45" t="s">
        <v>61</v>
      </c>
      <c r="D30" s="42" t="s">
        <v>419</v>
      </c>
      <c r="E30" s="40">
        <v>0</v>
      </c>
      <c r="F30" s="40">
        <v>0</v>
      </c>
      <c r="G30" s="15">
        <v>98.219086021505362</v>
      </c>
      <c r="H30" s="35">
        <v>0</v>
      </c>
      <c r="J30" s="35">
        <f t="shared" si="1"/>
        <v>98.219086021505362</v>
      </c>
    </row>
    <row r="31" spans="1:10" x14ac:dyDescent="0.3">
      <c r="A31">
        <f t="shared" si="0"/>
        <v>30</v>
      </c>
      <c r="B31" s="17" t="s">
        <v>610</v>
      </c>
      <c r="C31" s="17" t="s">
        <v>5</v>
      </c>
      <c r="D31" s="17" t="s">
        <v>419</v>
      </c>
      <c r="E31" s="40">
        <v>0</v>
      </c>
      <c r="F31" s="40">
        <v>98.145650708024249</v>
      </c>
      <c r="G31" s="35">
        <v>0</v>
      </c>
      <c r="H31" s="35">
        <v>0</v>
      </c>
      <c r="I31" s="35"/>
      <c r="J31" s="35">
        <f t="shared" si="1"/>
        <v>98.145650708024249</v>
      </c>
    </row>
    <row r="32" spans="1:10" x14ac:dyDescent="0.3">
      <c r="A32">
        <f t="shared" si="0"/>
        <v>31</v>
      </c>
      <c r="B32" s="45" t="s">
        <v>816</v>
      </c>
      <c r="C32" s="42" t="s">
        <v>19</v>
      </c>
      <c r="D32" s="42" t="s">
        <v>822</v>
      </c>
      <c r="E32" s="40">
        <v>0</v>
      </c>
      <c r="F32" s="40">
        <v>0</v>
      </c>
      <c r="G32" s="40">
        <v>0</v>
      </c>
      <c r="H32" s="15">
        <v>97.679614987968378</v>
      </c>
      <c r="J32" s="35">
        <f t="shared" si="1"/>
        <v>97.679614987968378</v>
      </c>
    </row>
    <row r="33" spans="1:10" x14ac:dyDescent="0.3">
      <c r="A33">
        <f t="shared" si="0"/>
        <v>32</v>
      </c>
      <c r="B33" s="42" t="s">
        <v>664</v>
      </c>
      <c r="C33" s="42" t="s">
        <v>3</v>
      </c>
      <c r="D33" s="42" t="s">
        <v>419</v>
      </c>
      <c r="E33" s="40">
        <v>0</v>
      </c>
      <c r="F33" s="40">
        <v>0</v>
      </c>
      <c r="G33" s="15">
        <v>97.34543010752688</v>
      </c>
      <c r="H33" s="35">
        <v>0</v>
      </c>
      <c r="J33" s="35">
        <f t="shared" si="1"/>
        <v>97.34543010752688</v>
      </c>
    </row>
    <row r="34" spans="1:10" x14ac:dyDescent="0.3">
      <c r="A34">
        <f t="shared" ref="A34:A65" si="2">RANK(J34,$J$2:$J$112)</f>
        <v>33</v>
      </c>
      <c r="B34" s="42" t="s">
        <v>676</v>
      </c>
      <c r="C34" s="42" t="s">
        <v>141</v>
      </c>
      <c r="D34" s="42" t="s">
        <v>419</v>
      </c>
      <c r="E34" s="40">
        <v>0</v>
      </c>
      <c r="F34" s="40">
        <v>0</v>
      </c>
      <c r="G34" s="15">
        <v>0</v>
      </c>
      <c r="H34" s="35">
        <v>96.24</v>
      </c>
      <c r="J34" s="35">
        <f t="shared" ref="J34:J65" si="3">LARGE(E34:I34,1)+LARGE(E34:I34,2)+LARGE(E34:I34,3)</f>
        <v>96.24</v>
      </c>
    </row>
    <row r="35" spans="1:10" x14ac:dyDescent="0.3">
      <c r="A35">
        <f t="shared" si="2"/>
        <v>34</v>
      </c>
      <c r="B35" s="17" t="s">
        <v>428</v>
      </c>
      <c r="C35" s="17" t="s">
        <v>1</v>
      </c>
      <c r="D35" s="17" t="s">
        <v>419</v>
      </c>
      <c r="E35" s="40">
        <v>96.235294117647058</v>
      </c>
      <c r="F35" s="40">
        <v>0</v>
      </c>
      <c r="G35" s="35">
        <v>0</v>
      </c>
      <c r="H35" s="35">
        <v>0</v>
      </c>
      <c r="I35" s="35"/>
      <c r="J35" s="35">
        <f t="shared" si="3"/>
        <v>96.235294117647058</v>
      </c>
    </row>
    <row r="36" spans="1:10" x14ac:dyDescent="0.3">
      <c r="A36">
        <f t="shared" si="2"/>
        <v>35</v>
      </c>
      <c r="B36" s="17" t="s">
        <v>431</v>
      </c>
      <c r="C36" s="17" t="s">
        <v>19</v>
      </c>
      <c r="D36" s="17" t="s">
        <v>419</v>
      </c>
      <c r="E36" s="40">
        <v>96.067226890756302</v>
      </c>
      <c r="F36" s="40">
        <v>0</v>
      </c>
      <c r="G36" s="35">
        <v>0</v>
      </c>
      <c r="H36" s="35">
        <v>0</v>
      </c>
      <c r="I36" s="35"/>
      <c r="J36" s="35">
        <f t="shared" si="3"/>
        <v>96.067226890756302</v>
      </c>
    </row>
    <row r="37" spans="1:10" x14ac:dyDescent="0.3">
      <c r="A37">
        <f t="shared" si="2"/>
        <v>36</v>
      </c>
      <c r="B37" s="17" t="s">
        <v>432</v>
      </c>
      <c r="C37" s="17" t="s">
        <v>160</v>
      </c>
      <c r="D37" s="17" t="s">
        <v>419</v>
      </c>
      <c r="E37" s="40">
        <v>96.000000000000014</v>
      </c>
      <c r="F37" s="41">
        <v>0</v>
      </c>
      <c r="G37" s="35">
        <v>0</v>
      </c>
      <c r="H37" s="35">
        <v>0</v>
      </c>
      <c r="I37" s="35"/>
      <c r="J37" s="35">
        <f t="shared" si="3"/>
        <v>96.000000000000014</v>
      </c>
    </row>
    <row r="38" spans="1:10" x14ac:dyDescent="0.3">
      <c r="A38">
        <f t="shared" si="2"/>
        <v>37</v>
      </c>
      <c r="B38" s="42" t="s">
        <v>667</v>
      </c>
      <c r="C38" s="42" t="s">
        <v>2</v>
      </c>
      <c r="D38" s="42" t="s">
        <v>419</v>
      </c>
      <c r="E38" s="40">
        <v>0</v>
      </c>
      <c r="F38" s="40">
        <v>0</v>
      </c>
      <c r="G38" s="15">
        <v>95.362903225806448</v>
      </c>
      <c r="H38" s="35">
        <v>0</v>
      </c>
      <c r="J38" s="35">
        <f t="shared" si="3"/>
        <v>95.362903225806448</v>
      </c>
    </row>
    <row r="39" spans="1:10" x14ac:dyDescent="0.3">
      <c r="A39">
        <f t="shared" si="2"/>
        <v>38</v>
      </c>
      <c r="B39" s="17" t="s">
        <v>429</v>
      </c>
      <c r="C39" s="17" t="s">
        <v>3</v>
      </c>
      <c r="D39" s="17" t="s">
        <v>419</v>
      </c>
      <c r="E39" s="40">
        <v>94.957983193277315</v>
      </c>
      <c r="F39" s="40">
        <v>0</v>
      </c>
      <c r="G39" s="35">
        <v>0</v>
      </c>
      <c r="H39" s="35">
        <v>0</v>
      </c>
      <c r="I39" s="35"/>
      <c r="J39" s="35">
        <f t="shared" si="3"/>
        <v>94.957983193277315</v>
      </c>
    </row>
    <row r="40" spans="1:10" x14ac:dyDescent="0.3">
      <c r="A40">
        <f t="shared" si="2"/>
        <v>39</v>
      </c>
      <c r="B40" s="42" t="s">
        <v>669</v>
      </c>
      <c r="C40" s="42" t="s">
        <v>131</v>
      </c>
      <c r="D40" s="42" t="s">
        <v>419</v>
      </c>
      <c r="E40" s="40">
        <v>0</v>
      </c>
      <c r="F40" s="40">
        <v>0</v>
      </c>
      <c r="G40" s="15">
        <v>94.9260752688172</v>
      </c>
      <c r="H40" s="35">
        <v>0</v>
      </c>
      <c r="J40" s="35">
        <f t="shared" si="3"/>
        <v>94.9260752688172</v>
      </c>
    </row>
    <row r="41" spans="1:10" x14ac:dyDescent="0.3">
      <c r="A41">
        <f t="shared" si="2"/>
        <v>40</v>
      </c>
      <c r="B41" s="17" t="s">
        <v>434</v>
      </c>
      <c r="C41" s="17" t="s">
        <v>1</v>
      </c>
      <c r="D41" s="17" t="s">
        <v>419</v>
      </c>
      <c r="E41" s="40">
        <v>94.857142857142861</v>
      </c>
      <c r="F41" s="40">
        <v>0</v>
      </c>
      <c r="G41" s="35">
        <v>0</v>
      </c>
      <c r="H41" s="35">
        <v>0</v>
      </c>
      <c r="I41" s="35"/>
      <c r="J41" s="35">
        <f t="shared" si="3"/>
        <v>94.857142857142861</v>
      </c>
    </row>
    <row r="42" spans="1:10" x14ac:dyDescent="0.3">
      <c r="A42">
        <f t="shared" si="2"/>
        <v>41</v>
      </c>
      <c r="B42" s="42" t="s">
        <v>666</v>
      </c>
      <c r="C42" s="42" t="s">
        <v>495</v>
      </c>
      <c r="D42" s="42" t="s">
        <v>419</v>
      </c>
      <c r="E42" s="40">
        <v>0</v>
      </c>
      <c r="F42" s="40">
        <v>0</v>
      </c>
      <c r="G42" s="15">
        <v>94.791666666666671</v>
      </c>
      <c r="H42" s="35">
        <v>0</v>
      </c>
      <c r="J42" s="35">
        <f t="shared" si="3"/>
        <v>94.791666666666671</v>
      </c>
    </row>
    <row r="43" spans="1:10" x14ac:dyDescent="0.3">
      <c r="A43">
        <f t="shared" si="2"/>
        <v>42</v>
      </c>
      <c r="B43" s="45" t="s">
        <v>805</v>
      </c>
      <c r="C43" s="42" t="s">
        <v>141</v>
      </c>
      <c r="D43" s="42" t="s">
        <v>776</v>
      </c>
      <c r="E43" s="40">
        <v>0</v>
      </c>
      <c r="F43" s="40">
        <v>0</v>
      </c>
      <c r="G43" s="40">
        <v>0</v>
      </c>
      <c r="H43" s="15">
        <v>94.637332416638003</v>
      </c>
      <c r="J43" s="35">
        <f t="shared" si="3"/>
        <v>94.637332416638003</v>
      </c>
    </row>
    <row r="44" spans="1:10" x14ac:dyDescent="0.3">
      <c r="A44">
        <f t="shared" si="2"/>
        <v>43</v>
      </c>
      <c r="B44" s="17" t="s">
        <v>438</v>
      </c>
      <c r="C44" s="17" t="s">
        <v>19</v>
      </c>
      <c r="D44" s="17" t="s">
        <v>419</v>
      </c>
      <c r="E44" s="40">
        <v>94.050420168067234</v>
      </c>
      <c r="F44" s="40">
        <v>0</v>
      </c>
      <c r="G44" s="35">
        <v>0</v>
      </c>
      <c r="H44" s="35">
        <v>0</v>
      </c>
      <c r="I44" s="35"/>
      <c r="J44" s="35">
        <f t="shared" si="3"/>
        <v>94.050420168067234</v>
      </c>
    </row>
    <row r="45" spans="1:10" x14ac:dyDescent="0.3">
      <c r="A45">
        <f t="shared" si="2"/>
        <v>44</v>
      </c>
      <c r="B45" s="17" t="s">
        <v>435</v>
      </c>
      <c r="C45" s="17" t="s">
        <v>5</v>
      </c>
      <c r="D45" s="17" t="s">
        <v>419</v>
      </c>
      <c r="E45" s="40">
        <v>93.848739495798313</v>
      </c>
      <c r="F45" s="40">
        <v>0</v>
      </c>
      <c r="G45" s="35">
        <v>0</v>
      </c>
      <c r="H45" s="35">
        <v>0</v>
      </c>
      <c r="I45" s="35"/>
      <c r="J45" s="35">
        <f t="shared" si="3"/>
        <v>93.848739495798313</v>
      </c>
    </row>
    <row r="46" spans="1:10" x14ac:dyDescent="0.3">
      <c r="A46">
        <f t="shared" si="2"/>
        <v>45</v>
      </c>
      <c r="B46" s="17" t="s">
        <v>613</v>
      </c>
      <c r="C46" s="17" t="s">
        <v>19</v>
      </c>
      <c r="D46" s="17" t="s">
        <v>419</v>
      </c>
      <c r="E46" s="40">
        <v>0</v>
      </c>
      <c r="F46" s="40">
        <v>0</v>
      </c>
      <c r="G46" s="35">
        <v>0</v>
      </c>
      <c r="H46" s="35">
        <v>93.75</v>
      </c>
      <c r="I46" s="35"/>
      <c r="J46" s="35">
        <f t="shared" si="3"/>
        <v>93.75</v>
      </c>
    </row>
    <row r="47" spans="1:10" x14ac:dyDescent="0.3">
      <c r="A47">
        <f t="shared" si="2"/>
        <v>46</v>
      </c>
      <c r="B47" s="17" t="s">
        <v>436</v>
      </c>
      <c r="C47" s="17" t="s">
        <v>3</v>
      </c>
      <c r="D47" s="17" t="s">
        <v>419</v>
      </c>
      <c r="E47" s="40">
        <v>93.714285714285708</v>
      </c>
      <c r="F47" s="40">
        <v>0</v>
      </c>
      <c r="G47" s="35">
        <v>0</v>
      </c>
      <c r="H47" s="35">
        <v>0</v>
      </c>
      <c r="I47" s="35"/>
      <c r="J47" s="35">
        <f t="shared" si="3"/>
        <v>93.714285714285708</v>
      </c>
    </row>
    <row r="48" spans="1:10" x14ac:dyDescent="0.3">
      <c r="A48">
        <f t="shared" si="2"/>
        <v>47</v>
      </c>
      <c r="B48" s="45" t="s">
        <v>801</v>
      </c>
      <c r="C48" s="42" t="s">
        <v>495</v>
      </c>
      <c r="D48" s="42" t="s">
        <v>772</v>
      </c>
      <c r="E48" s="40">
        <v>0</v>
      </c>
      <c r="F48" s="40">
        <v>0</v>
      </c>
      <c r="G48" s="40">
        <v>0</v>
      </c>
      <c r="H48" s="15">
        <v>93.691990374699216</v>
      </c>
      <c r="J48" s="35">
        <f t="shared" si="3"/>
        <v>93.691990374699216</v>
      </c>
    </row>
    <row r="49" spans="1:10" x14ac:dyDescent="0.3">
      <c r="A49">
        <f t="shared" si="2"/>
        <v>48</v>
      </c>
      <c r="B49" s="45" t="s">
        <v>812</v>
      </c>
      <c r="C49" s="42" t="s">
        <v>495</v>
      </c>
      <c r="D49" s="42" t="s">
        <v>818</v>
      </c>
      <c r="E49" s="40">
        <v>0</v>
      </c>
      <c r="F49" s="40">
        <v>0</v>
      </c>
      <c r="G49" s="40">
        <v>0</v>
      </c>
      <c r="H49" s="15">
        <v>93.588862151942251</v>
      </c>
      <c r="J49" s="35">
        <f t="shared" si="3"/>
        <v>93.588862151942251</v>
      </c>
    </row>
    <row r="50" spans="1:10" x14ac:dyDescent="0.3">
      <c r="A50">
        <f t="shared" si="2"/>
        <v>49</v>
      </c>
      <c r="B50" s="42" t="s">
        <v>673</v>
      </c>
      <c r="C50" s="42" t="s">
        <v>5</v>
      </c>
      <c r="D50" s="42" t="s">
        <v>419</v>
      </c>
      <c r="E50" s="40">
        <v>0</v>
      </c>
      <c r="F50" s="40">
        <v>0</v>
      </c>
      <c r="G50" s="15">
        <v>93.514784946236546</v>
      </c>
      <c r="H50" s="35">
        <v>0</v>
      </c>
      <c r="J50" s="35">
        <f t="shared" si="3"/>
        <v>93.514784946236546</v>
      </c>
    </row>
    <row r="51" spans="1:10" x14ac:dyDescent="0.3">
      <c r="A51">
        <f t="shared" si="2"/>
        <v>50</v>
      </c>
      <c r="B51" s="42" t="s">
        <v>671</v>
      </c>
      <c r="C51" s="42" t="s">
        <v>5</v>
      </c>
      <c r="D51" s="42" t="s">
        <v>419</v>
      </c>
      <c r="E51" s="40">
        <v>0</v>
      </c>
      <c r="F51" s="40">
        <v>0</v>
      </c>
      <c r="G51" s="15">
        <v>93.413978494623649</v>
      </c>
      <c r="H51" s="35">
        <v>0</v>
      </c>
      <c r="J51" s="35">
        <f t="shared" si="3"/>
        <v>93.413978494623649</v>
      </c>
    </row>
    <row r="52" spans="1:10" x14ac:dyDescent="0.3">
      <c r="A52">
        <f t="shared" si="2"/>
        <v>51</v>
      </c>
      <c r="B52" s="17" t="s">
        <v>601</v>
      </c>
      <c r="C52" s="17" t="s">
        <v>27</v>
      </c>
      <c r="D52" s="17" t="s">
        <v>419</v>
      </c>
      <c r="E52" s="40">
        <v>0</v>
      </c>
      <c r="F52" s="40">
        <v>93.05461901550909</v>
      </c>
      <c r="G52" s="35">
        <v>0</v>
      </c>
      <c r="H52" s="35">
        <v>0</v>
      </c>
      <c r="I52" s="35"/>
      <c r="J52" s="35">
        <f t="shared" si="3"/>
        <v>93.05461901550909</v>
      </c>
    </row>
    <row r="53" spans="1:10" x14ac:dyDescent="0.3">
      <c r="A53">
        <f t="shared" si="2"/>
        <v>52</v>
      </c>
      <c r="B53" s="17" t="s">
        <v>440</v>
      </c>
      <c r="C53" s="17" t="s">
        <v>5</v>
      </c>
      <c r="D53" s="17" t="s">
        <v>419</v>
      </c>
      <c r="E53" s="40">
        <v>92.638655462184886</v>
      </c>
      <c r="F53" s="40">
        <v>0</v>
      </c>
      <c r="G53" s="35">
        <v>0</v>
      </c>
      <c r="H53" s="35">
        <v>0</v>
      </c>
      <c r="I53" s="35"/>
      <c r="J53" s="35">
        <f t="shared" si="3"/>
        <v>92.638655462184886</v>
      </c>
    </row>
    <row r="54" spans="1:10" x14ac:dyDescent="0.3">
      <c r="A54">
        <f t="shared" si="2"/>
        <v>53</v>
      </c>
      <c r="B54" s="42" t="s">
        <v>672</v>
      </c>
      <c r="C54" s="42" t="s">
        <v>59</v>
      </c>
      <c r="D54" s="42" t="s">
        <v>419</v>
      </c>
      <c r="E54" s="40">
        <v>0</v>
      </c>
      <c r="F54" s="40">
        <v>0</v>
      </c>
      <c r="G54" s="15">
        <v>92.607526881720432</v>
      </c>
      <c r="H54" s="35">
        <v>0</v>
      </c>
      <c r="J54" s="35">
        <f t="shared" si="3"/>
        <v>92.607526881720432</v>
      </c>
    </row>
    <row r="55" spans="1:10" x14ac:dyDescent="0.3">
      <c r="A55">
        <f t="shared" si="2"/>
        <v>54</v>
      </c>
      <c r="B55" s="42" t="s">
        <v>674</v>
      </c>
      <c r="C55" s="42" t="s">
        <v>61</v>
      </c>
      <c r="D55" s="42" t="s">
        <v>419</v>
      </c>
      <c r="E55" s="40">
        <v>0</v>
      </c>
      <c r="F55" s="40">
        <v>0</v>
      </c>
      <c r="G55" s="15">
        <v>92.439516129032256</v>
      </c>
      <c r="H55" s="35">
        <v>0</v>
      </c>
      <c r="J55" s="35">
        <f t="shared" si="3"/>
        <v>92.439516129032256</v>
      </c>
    </row>
    <row r="56" spans="1:10" x14ac:dyDescent="0.3">
      <c r="A56">
        <f t="shared" si="2"/>
        <v>55</v>
      </c>
      <c r="B56" s="17" t="s">
        <v>606</v>
      </c>
      <c r="C56" s="17" t="s">
        <v>19</v>
      </c>
      <c r="D56" s="17" t="s">
        <v>419</v>
      </c>
      <c r="E56" s="40">
        <v>0</v>
      </c>
      <c r="F56" s="40">
        <v>91.908293998651388</v>
      </c>
      <c r="G56" s="35">
        <v>0</v>
      </c>
      <c r="H56" s="35">
        <v>0</v>
      </c>
      <c r="I56" s="35"/>
      <c r="J56" s="35">
        <f t="shared" si="3"/>
        <v>91.908293998651388</v>
      </c>
    </row>
    <row r="57" spans="1:10" x14ac:dyDescent="0.3">
      <c r="A57">
        <f t="shared" si="2"/>
        <v>56</v>
      </c>
      <c r="B57" s="42" t="s">
        <v>678</v>
      </c>
      <c r="C57" s="42" t="s">
        <v>495</v>
      </c>
      <c r="D57" s="42" t="s">
        <v>419</v>
      </c>
      <c r="E57" s="40">
        <v>0</v>
      </c>
      <c r="F57" s="40">
        <v>0</v>
      </c>
      <c r="G57" s="15">
        <v>91.532258064516128</v>
      </c>
      <c r="H57" s="35">
        <v>0</v>
      </c>
      <c r="J57" s="35">
        <f t="shared" si="3"/>
        <v>91.532258064516128</v>
      </c>
    </row>
    <row r="58" spans="1:10" x14ac:dyDescent="0.3">
      <c r="A58">
        <f t="shared" si="2"/>
        <v>57</v>
      </c>
      <c r="B58" s="45" t="s">
        <v>810</v>
      </c>
      <c r="C58" s="42" t="s">
        <v>12</v>
      </c>
      <c r="D58" s="42" t="s">
        <v>781</v>
      </c>
      <c r="E58" s="40">
        <v>0</v>
      </c>
      <c r="F58" s="40">
        <v>0</v>
      </c>
      <c r="G58" s="40">
        <v>0</v>
      </c>
      <c r="H58" s="15">
        <v>91.234101065658308</v>
      </c>
      <c r="J58" s="35">
        <f t="shared" si="3"/>
        <v>91.234101065658308</v>
      </c>
    </row>
    <row r="59" spans="1:10" x14ac:dyDescent="0.3">
      <c r="A59">
        <f t="shared" si="2"/>
        <v>58</v>
      </c>
      <c r="B59" s="45" t="s">
        <v>809</v>
      </c>
      <c r="C59" s="42" t="s">
        <v>61</v>
      </c>
      <c r="D59" s="42" t="s">
        <v>780</v>
      </c>
      <c r="E59" s="40">
        <v>0</v>
      </c>
      <c r="F59" s="40">
        <v>0</v>
      </c>
      <c r="G59" s="40">
        <v>0</v>
      </c>
      <c r="H59" s="15">
        <v>90.993468545892071</v>
      </c>
      <c r="J59" s="35">
        <f t="shared" si="3"/>
        <v>90.993468545892071</v>
      </c>
    </row>
    <row r="60" spans="1:10" x14ac:dyDescent="0.3">
      <c r="A60">
        <f t="shared" si="2"/>
        <v>59</v>
      </c>
      <c r="B60" s="17" t="s">
        <v>441</v>
      </c>
      <c r="C60" s="17" t="s">
        <v>59</v>
      </c>
      <c r="D60" s="17" t="s">
        <v>419</v>
      </c>
      <c r="E60" s="40">
        <v>90.957983193277329</v>
      </c>
      <c r="F60" s="40">
        <v>0</v>
      </c>
      <c r="G60" s="35">
        <v>0</v>
      </c>
      <c r="H60" s="35">
        <v>0</v>
      </c>
      <c r="I60" s="35"/>
      <c r="J60" s="35">
        <f t="shared" si="3"/>
        <v>90.957983193277329</v>
      </c>
    </row>
    <row r="61" spans="1:10" x14ac:dyDescent="0.3">
      <c r="A61">
        <f t="shared" si="2"/>
        <v>60</v>
      </c>
      <c r="B61" s="42" t="s">
        <v>675</v>
      </c>
      <c r="C61" s="42" t="s">
        <v>1</v>
      </c>
      <c r="D61" s="42" t="s">
        <v>419</v>
      </c>
      <c r="E61" s="40">
        <v>0</v>
      </c>
      <c r="F61" s="40">
        <v>0</v>
      </c>
      <c r="G61" s="15">
        <v>90.524193548387103</v>
      </c>
      <c r="H61" s="35">
        <v>0</v>
      </c>
      <c r="J61" s="35">
        <f t="shared" si="3"/>
        <v>90.524193548387103</v>
      </c>
    </row>
    <row r="62" spans="1:10" x14ac:dyDescent="0.3">
      <c r="A62">
        <f t="shared" si="2"/>
        <v>61</v>
      </c>
      <c r="B62" s="17" t="s">
        <v>614</v>
      </c>
      <c r="C62" s="17" t="s">
        <v>4</v>
      </c>
      <c r="D62" s="17" t="s">
        <v>419</v>
      </c>
      <c r="E62" s="40">
        <v>0</v>
      </c>
      <c r="F62" s="40">
        <v>90.391099123398519</v>
      </c>
      <c r="G62" s="35">
        <v>0</v>
      </c>
      <c r="H62" s="35">
        <v>0</v>
      </c>
      <c r="I62" s="35"/>
      <c r="J62" s="35">
        <f t="shared" si="3"/>
        <v>90.391099123398519</v>
      </c>
    </row>
    <row r="63" spans="1:10" x14ac:dyDescent="0.3">
      <c r="A63">
        <f t="shared" si="2"/>
        <v>62</v>
      </c>
      <c r="B63" s="17" t="s">
        <v>598</v>
      </c>
      <c r="C63" s="17" t="s">
        <v>160</v>
      </c>
      <c r="D63" s="17" t="s">
        <v>419</v>
      </c>
      <c r="E63" s="40">
        <v>0</v>
      </c>
      <c r="F63" s="40">
        <v>90.188806473364792</v>
      </c>
      <c r="G63" s="35">
        <v>0</v>
      </c>
      <c r="H63" s="35">
        <v>0</v>
      </c>
      <c r="I63" s="35"/>
      <c r="J63" s="35">
        <f t="shared" si="3"/>
        <v>90.188806473364792</v>
      </c>
    </row>
    <row r="64" spans="1:10" x14ac:dyDescent="0.3">
      <c r="A64">
        <f t="shared" si="2"/>
        <v>63</v>
      </c>
      <c r="B64" s="42" t="s">
        <v>679</v>
      </c>
      <c r="C64" s="42" t="s">
        <v>61</v>
      </c>
      <c r="D64" s="42" t="s">
        <v>419</v>
      </c>
      <c r="E64" s="40">
        <v>0</v>
      </c>
      <c r="F64" s="40">
        <v>0</v>
      </c>
      <c r="G64" s="15">
        <v>90.020161290322562</v>
      </c>
      <c r="H64" s="35">
        <v>0</v>
      </c>
      <c r="J64" s="35">
        <f t="shared" si="3"/>
        <v>90.020161290322562</v>
      </c>
    </row>
    <row r="65" spans="1:10" x14ac:dyDescent="0.3">
      <c r="A65">
        <f t="shared" si="2"/>
        <v>64</v>
      </c>
      <c r="B65" s="17" t="s">
        <v>602</v>
      </c>
      <c r="C65" s="17" t="s">
        <v>1</v>
      </c>
      <c r="D65" s="17" t="s">
        <v>419</v>
      </c>
      <c r="E65" s="40">
        <v>0</v>
      </c>
      <c r="F65" s="40">
        <v>89.379635873229944</v>
      </c>
      <c r="G65" s="35">
        <v>0</v>
      </c>
      <c r="H65" s="35">
        <v>0</v>
      </c>
      <c r="I65" s="35"/>
      <c r="J65" s="35">
        <f t="shared" si="3"/>
        <v>89.379635873229944</v>
      </c>
    </row>
    <row r="66" spans="1:10" x14ac:dyDescent="0.3">
      <c r="A66">
        <f t="shared" ref="A66:A97" si="4">RANK(J66,$J$2:$J$112)</f>
        <v>65</v>
      </c>
      <c r="B66" s="42" t="s">
        <v>680</v>
      </c>
      <c r="C66" s="42" t="s">
        <v>46</v>
      </c>
      <c r="D66" s="42" t="s">
        <v>419</v>
      </c>
      <c r="E66" s="40">
        <v>0</v>
      </c>
      <c r="F66" s="40">
        <v>0</v>
      </c>
      <c r="G66" s="15">
        <v>87.231182795698899</v>
      </c>
      <c r="H66" s="35">
        <v>0</v>
      </c>
      <c r="J66" s="35">
        <f t="shared" ref="J66:J97" si="5">LARGE(E66:I66,1)+LARGE(E66:I66,2)+LARGE(E66:I66,3)</f>
        <v>87.231182795698899</v>
      </c>
    </row>
    <row r="67" spans="1:10" x14ac:dyDescent="0.3">
      <c r="A67">
        <f t="shared" si="4"/>
        <v>66</v>
      </c>
      <c r="B67" s="17" t="s">
        <v>442</v>
      </c>
      <c r="C67" s="17" t="s">
        <v>5</v>
      </c>
      <c r="D67" s="17" t="s">
        <v>419</v>
      </c>
      <c r="E67" s="40">
        <v>86.52100840336135</v>
      </c>
      <c r="F67" s="40">
        <v>0</v>
      </c>
      <c r="G67" s="35">
        <v>0</v>
      </c>
      <c r="H67" s="35">
        <v>0</v>
      </c>
      <c r="I67" s="35"/>
      <c r="J67" s="35">
        <f t="shared" si="5"/>
        <v>86.52100840336135</v>
      </c>
    </row>
    <row r="68" spans="1:10" x14ac:dyDescent="0.3">
      <c r="A68">
        <f t="shared" si="4"/>
        <v>67</v>
      </c>
      <c r="B68" s="42" t="s">
        <v>682</v>
      </c>
      <c r="C68" s="42" t="s">
        <v>5</v>
      </c>
      <c r="D68" s="42" t="s">
        <v>419</v>
      </c>
      <c r="E68" s="40">
        <v>0</v>
      </c>
      <c r="F68" s="40">
        <v>0</v>
      </c>
      <c r="G68" s="15">
        <v>84.206989247311824</v>
      </c>
      <c r="H68" s="35">
        <v>0</v>
      </c>
      <c r="J68" s="35">
        <f t="shared" si="5"/>
        <v>84.206989247311824</v>
      </c>
    </row>
    <row r="69" spans="1:10" x14ac:dyDescent="0.3">
      <c r="A69">
        <f t="shared" si="4"/>
        <v>68</v>
      </c>
      <c r="B69" s="42" t="s">
        <v>681</v>
      </c>
      <c r="C69" s="42" t="s">
        <v>1</v>
      </c>
      <c r="D69" s="42" t="s">
        <v>419</v>
      </c>
      <c r="E69" s="40">
        <v>0</v>
      </c>
      <c r="F69" s="40">
        <v>0</v>
      </c>
      <c r="G69" s="15">
        <v>83.736559139784944</v>
      </c>
      <c r="H69" s="35">
        <v>0</v>
      </c>
      <c r="J69" s="35">
        <f t="shared" si="5"/>
        <v>83.736559139784944</v>
      </c>
    </row>
    <row r="70" spans="1:10" x14ac:dyDescent="0.3">
      <c r="A70">
        <f t="shared" si="4"/>
        <v>69</v>
      </c>
      <c r="B70" s="45" t="s">
        <v>798</v>
      </c>
      <c r="C70" s="42" t="s">
        <v>1</v>
      </c>
      <c r="D70" s="42" t="s">
        <v>769</v>
      </c>
      <c r="E70" s="40">
        <v>0</v>
      </c>
      <c r="F70" s="40">
        <v>0</v>
      </c>
      <c r="G70" s="40">
        <v>0</v>
      </c>
      <c r="H70" s="15">
        <v>82.528360261258172</v>
      </c>
      <c r="J70" s="35">
        <f t="shared" si="5"/>
        <v>82.528360261258172</v>
      </c>
    </row>
    <row r="71" spans="1:10" x14ac:dyDescent="0.3">
      <c r="A71">
        <f t="shared" si="4"/>
        <v>70</v>
      </c>
      <c r="B71" s="45" t="s">
        <v>807</v>
      </c>
      <c r="C71" s="42" t="s">
        <v>141</v>
      </c>
      <c r="D71" s="42" t="s">
        <v>778</v>
      </c>
      <c r="E71" s="40">
        <v>0</v>
      </c>
      <c r="F71" s="40">
        <v>0</v>
      </c>
      <c r="G71" s="40">
        <v>0</v>
      </c>
      <c r="H71" s="15">
        <v>82.150223444482634</v>
      </c>
      <c r="J71" s="35">
        <f t="shared" si="5"/>
        <v>82.150223444482634</v>
      </c>
    </row>
    <row r="72" spans="1:10" x14ac:dyDescent="0.3">
      <c r="A72">
        <f t="shared" si="4"/>
        <v>71</v>
      </c>
      <c r="B72" s="17" t="s">
        <v>592</v>
      </c>
      <c r="C72" s="17" t="s">
        <v>1</v>
      </c>
      <c r="D72" s="17" t="s">
        <v>419</v>
      </c>
      <c r="E72" s="40">
        <v>0</v>
      </c>
      <c r="F72" s="40">
        <v>81.321645313553603</v>
      </c>
      <c r="G72" s="35">
        <v>0</v>
      </c>
      <c r="H72" s="35">
        <v>0</v>
      </c>
      <c r="I72" s="35"/>
      <c r="J72" s="35">
        <f t="shared" si="5"/>
        <v>81.321645313553603</v>
      </c>
    </row>
    <row r="73" spans="1:10" x14ac:dyDescent="0.3">
      <c r="A73">
        <f t="shared" si="4"/>
        <v>72</v>
      </c>
      <c r="B73" s="42" t="s">
        <v>683</v>
      </c>
      <c r="C73" s="42" t="s">
        <v>131</v>
      </c>
      <c r="D73" s="42" t="s">
        <v>419</v>
      </c>
      <c r="E73" s="40">
        <v>0</v>
      </c>
      <c r="F73" s="40">
        <v>0</v>
      </c>
      <c r="G73" s="15">
        <v>79.267473118279568</v>
      </c>
      <c r="H73" s="35">
        <v>0</v>
      </c>
      <c r="J73" s="35">
        <f t="shared" si="5"/>
        <v>79.267473118279568</v>
      </c>
    </row>
    <row r="74" spans="1:10" x14ac:dyDescent="0.3">
      <c r="A74">
        <f t="shared" si="4"/>
        <v>73</v>
      </c>
      <c r="B74" s="17" t="s">
        <v>444</v>
      </c>
      <c r="C74" s="17" t="s">
        <v>1</v>
      </c>
      <c r="D74" s="17" t="s">
        <v>419</v>
      </c>
      <c r="E74" s="40">
        <v>78.756302521008408</v>
      </c>
      <c r="F74" s="40">
        <v>0</v>
      </c>
      <c r="G74" s="35">
        <v>0</v>
      </c>
      <c r="H74" s="35">
        <v>0</v>
      </c>
      <c r="I74" s="35"/>
      <c r="J74" s="35">
        <f t="shared" si="5"/>
        <v>78.756302521008408</v>
      </c>
    </row>
    <row r="75" spans="1:10" x14ac:dyDescent="0.3">
      <c r="A75">
        <f t="shared" si="4"/>
        <v>74</v>
      </c>
      <c r="B75" s="17" t="s">
        <v>612</v>
      </c>
      <c r="C75" s="17" t="s">
        <v>5</v>
      </c>
      <c r="D75" s="17" t="s">
        <v>419</v>
      </c>
      <c r="E75" s="40">
        <v>0</v>
      </c>
      <c r="F75" s="40">
        <v>74.20768712070128</v>
      </c>
      <c r="G75" s="35">
        <v>0</v>
      </c>
      <c r="H75" s="35">
        <v>0</v>
      </c>
      <c r="I75" s="35"/>
      <c r="J75" s="35">
        <f t="shared" si="5"/>
        <v>74.20768712070128</v>
      </c>
    </row>
    <row r="76" spans="1:10" x14ac:dyDescent="0.3">
      <c r="A76">
        <f t="shared" si="4"/>
        <v>75</v>
      </c>
      <c r="B76" s="45" t="s">
        <v>803</v>
      </c>
      <c r="C76" s="42" t="s">
        <v>3</v>
      </c>
      <c r="D76" s="42" t="s">
        <v>774</v>
      </c>
      <c r="E76" s="40">
        <v>0</v>
      </c>
      <c r="F76" s="40">
        <v>0</v>
      </c>
      <c r="G76" s="40">
        <v>0</v>
      </c>
      <c r="H76" s="15">
        <v>72.782743210725329</v>
      </c>
      <c r="J76" s="35">
        <f t="shared" si="5"/>
        <v>72.782743210725329</v>
      </c>
    </row>
    <row r="77" spans="1:10" x14ac:dyDescent="0.3">
      <c r="A77">
        <f t="shared" si="4"/>
        <v>76</v>
      </c>
      <c r="B77" s="17" t="s">
        <v>609</v>
      </c>
      <c r="C77" s="17" t="s">
        <v>19</v>
      </c>
      <c r="D77" s="17" t="s">
        <v>419</v>
      </c>
      <c r="E77" s="40">
        <v>0</v>
      </c>
      <c r="F77" s="40">
        <v>70.026972353337825</v>
      </c>
      <c r="G77" s="35">
        <v>0</v>
      </c>
      <c r="H77" s="35">
        <v>0</v>
      </c>
      <c r="I77" s="35"/>
      <c r="J77" s="35">
        <f t="shared" si="5"/>
        <v>70.026972353337825</v>
      </c>
    </row>
    <row r="78" spans="1:10" x14ac:dyDescent="0.3">
      <c r="A78">
        <f t="shared" si="4"/>
        <v>77</v>
      </c>
      <c r="B78" s="17" t="s">
        <v>446</v>
      </c>
      <c r="C78" s="17" t="s">
        <v>141</v>
      </c>
      <c r="D78" s="17" t="s">
        <v>419</v>
      </c>
      <c r="E78" s="40">
        <v>67.899159663865547</v>
      </c>
      <c r="F78" s="40">
        <v>0</v>
      </c>
      <c r="G78" s="35">
        <v>0</v>
      </c>
      <c r="H78" s="35">
        <v>0</v>
      </c>
      <c r="I78" s="35"/>
      <c r="J78" s="35">
        <f t="shared" si="5"/>
        <v>67.899159663865547</v>
      </c>
    </row>
    <row r="79" spans="1:10" x14ac:dyDescent="0.3">
      <c r="A79">
        <f t="shared" si="4"/>
        <v>78</v>
      </c>
      <c r="B79" s="45" t="s">
        <v>814</v>
      </c>
      <c r="C79" s="42" t="s">
        <v>12</v>
      </c>
      <c r="D79" s="42" t="s">
        <v>820</v>
      </c>
      <c r="E79" s="40">
        <v>0</v>
      </c>
      <c r="F79" s="40">
        <v>0</v>
      </c>
      <c r="G79" s="40">
        <v>0</v>
      </c>
      <c r="H79" s="15">
        <v>66.809900309384659</v>
      </c>
      <c r="J79" s="35">
        <f t="shared" si="5"/>
        <v>66.809900309384659</v>
      </c>
    </row>
    <row r="80" spans="1:10" x14ac:dyDescent="0.3">
      <c r="A80">
        <f t="shared" si="4"/>
        <v>79</v>
      </c>
      <c r="B80" s="42" t="s">
        <v>685</v>
      </c>
      <c r="C80" s="42" t="s">
        <v>117</v>
      </c>
      <c r="D80" s="42" t="s">
        <v>419</v>
      </c>
      <c r="E80" s="40">
        <v>0</v>
      </c>
      <c r="F80" s="40">
        <v>0</v>
      </c>
      <c r="G80" s="15">
        <v>63.978494623655912</v>
      </c>
      <c r="H80" s="35">
        <v>0</v>
      </c>
      <c r="J80" s="35">
        <f t="shared" si="5"/>
        <v>63.978494623655912</v>
      </c>
    </row>
    <row r="81" spans="1:10" x14ac:dyDescent="0.3">
      <c r="A81">
        <f t="shared" si="4"/>
        <v>80</v>
      </c>
      <c r="B81" s="42" t="s">
        <v>686</v>
      </c>
      <c r="C81" s="42" t="s">
        <v>126</v>
      </c>
      <c r="D81" s="42" t="s">
        <v>419</v>
      </c>
      <c r="E81" s="40">
        <v>0</v>
      </c>
      <c r="F81" s="40">
        <v>0</v>
      </c>
      <c r="G81" s="15">
        <v>57.157258064516128</v>
      </c>
      <c r="H81" s="35">
        <v>0</v>
      </c>
      <c r="J81" s="35">
        <f t="shared" si="5"/>
        <v>57.157258064516128</v>
      </c>
    </row>
    <row r="82" spans="1:10" x14ac:dyDescent="0.3">
      <c r="A82">
        <f t="shared" si="4"/>
        <v>81</v>
      </c>
      <c r="B82" s="17" t="s">
        <v>603</v>
      </c>
      <c r="C82" s="17" t="s">
        <v>141</v>
      </c>
      <c r="D82" s="17" t="s">
        <v>419</v>
      </c>
      <c r="E82" s="40">
        <v>0</v>
      </c>
      <c r="F82" s="40">
        <v>55.158462575859737</v>
      </c>
      <c r="G82" s="35">
        <v>0</v>
      </c>
      <c r="H82" s="35">
        <v>0</v>
      </c>
      <c r="I82" s="35"/>
      <c r="J82" s="35">
        <f t="shared" si="5"/>
        <v>55.158462575859737</v>
      </c>
    </row>
    <row r="83" spans="1:10" x14ac:dyDescent="0.3">
      <c r="A83">
        <f t="shared" si="4"/>
        <v>82</v>
      </c>
      <c r="B83" s="17" t="s">
        <v>447</v>
      </c>
      <c r="C83" s="17" t="s">
        <v>19</v>
      </c>
      <c r="D83" s="17" t="s">
        <v>419</v>
      </c>
      <c r="E83" s="40">
        <v>47.563025210084035</v>
      </c>
      <c r="F83" s="40">
        <v>0</v>
      </c>
      <c r="G83" s="35">
        <v>0</v>
      </c>
      <c r="H83" s="35">
        <v>0</v>
      </c>
      <c r="I83" s="35"/>
      <c r="J83" s="35">
        <f t="shared" si="5"/>
        <v>47.563025210084035</v>
      </c>
    </row>
    <row r="84" spans="1:10" x14ac:dyDescent="0.3">
      <c r="A84">
        <f t="shared" si="4"/>
        <v>83</v>
      </c>
      <c r="B84" s="42" t="s">
        <v>687</v>
      </c>
      <c r="C84" s="42" t="s">
        <v>59</v>
      </c>
      <c r="D84" s="42" t="s">
        <v>419</v>
      </c>
      <c r="E84" s="40">
        <v>0</v>
      </c>
      <c r="F84" s="40">
        <v>0</v>
      </c>
      <c r="G84" s="15">
        <v>45.228494623655912</v>
      </c>
      <c r="H84" s="35">
        <v>0</v>
      </c>
      <c r="J84" s="35">
        <f t="shared" si="5"/>
        <v>45.228494623655912</v>
      </c>
    </row>
    <row r="85" spans="1:10" x14ac:dyDescent="0.3">
      <c r="A85">
        <f t="shared" si="4"/>
        <v>84</v>
      </c>
      <c r="B85" s="42" t="s">
        <v>688</v>
      </c>
      <c r="C85" s="42" t="s">
        <v>19</v>
      </c>
      <c r="D85" s="42" t="s">
        <v>419</v>
      </c>
      <c r="E85" s="40">
        <v>0</v>
      </c>
      <c r="F85" s="40">
        <v>0</v>
      </c>
      <c r="G85" s="15">
        <v>40.12096774193548</v>
      </c>
      <c r="H85" s="35">
        <v>0</v>
      </c>
      <c r="J85" s="35">
        <f t="shared" si="5"/>
        <v>40.12096774193548</v>
      </c>
    </row>
    <row r="86" spans="1:10" x14ac:dyDescent="0.3">
      <c r="A86">
        <f t="shared" si="4"/>
        <v>85</v>
      </c>
      <c r="B86" s="17" t="s">
        <v>595</v>
      </c>
      <c r="C86" s="17" t="s">
        <v>131</v>
      </c>
      <c r="D86" s="17" t="s">
        <v>419</v>
      </c>
      <c r="E86" s="40">
        <v>0</v>
      </c>
      <c r="F86" s="40">
        <v>12.710721510451787</v>
      </c>
      <c r="G86" s="35">
        <v>0</v>
      </c>
      <c r="H86" s="35">
        <v>0</v>
      </c>
      <c r="I86" s="35"/>
      <c r="J86" s="35">
        <f t="shared" si="5"/>
        <v>12.710721510451787</v>
      </c>
    </row>
    <row r="87" spans="1:10" x14ac:dyDescent="0.3">
      <c r="A87">
        <f t="shared" si="4"/>
        <v>86</v>
      </c>
      <c r="B87" s="17" t="s">
        <v>449</v>
      </c>
      <c r="C87" s="17" t="s">
        <v>1</v>
      </c>
      <c r="D87" s="17" t="s">
        <v>419</v>
      </c>
      <c r="E87" s="40">
        <v>8.6722689075630246</v>
      </c>
      <c r="F87" s="40">
        <v>0</v>
      </c>
      <c r="G87" s="35">
        <v>0</v>
      </c>
      <c r="H87" s="35">
        <v>0</v>
      </c>
      <c r="I87" s="35"/>
      <c r="J87" s="35">
        <f t="shared" si="5"/>
        <v>8.6722689075630246</v>
      </c>
    </row>
    <row r="88" spans="1:10" x14ac:dyDescent="0.3">
      <c r="A88">
        <f t="shared" si="4"/>
        <v>87</v>
      </c>
      <c r="B88" s="42" t="s">
        <v>692</v>
      </c>
      <c r="C88" s="42" t="s">
        <v>1</v>
      </c>
      <c r="D88" s="42" t="s">
        <v>419</v>
      </c>
      <c r="E88" s="40">
        <v>0</v>
      </c>
      <c r="F88" s="40">
        <v>0</v>
      </c>
      <c r="G88" s="15">
        <v>0</v>
      </c>
      <c r="H88">
        <v>0</v>
      </c>
      <c r="J88" s="35">
        <f t="shared" si="5"/>
        <v>0</v>
      </c>
    </row>
    <row r="89" spans="1:10" x14ac:dyDescent="0.3">
      <c r="A89">
        <f t="shared" si="4"/>
        <v>87</v>
      </c>
      <c r="B89" s="42" t="s">
        <v>691</v>
      </c>
      <c r="C89" s="42" t="s">
        <v>77</v>
      </c>
      <c r="D89" s="42" t="s">
        <v>419</v>
      </c>
      <c r="E89" s="40">
        <v>0</v>
      </c>
      <c r="F89" s="40">
        <v>0</v>
      </c>
      <c r="G89" s="15">
        <v>0</v>
      </c>
      <c r="H89">
        <v>0</v>
      </c>
      <c r="J89" s="35">
        <f t="shared" si="5"/>
        <v>0</v>
      </c>
    </row>
    <row r="90" spans="1:10" x14ac:dyDescent="0.3">
      <c r="A90">
        <f t="shared" si="4"/>
        <v>87</v>
      </c>
      <c r="B90" s="42" t="s">
        <v>690</v>
      </c>
      <c r="C90" s="42" t="s">
        <v>131</v>
      </c>
      <c r="D90" s="42" t="s">
        <v>419</v>
      </c>
      <c r="E90" s="40">
        <v>0</v>
      </c>
      <c r="F90" s="40">
        <v>0</v>
      </c>
      <c r="G90" s="15">
        <v>0</v>
      </c>
      <c r="H90" s="35">
        <v>0</v>
      </c>
      <c r="J90" s="35">
        <f t="shared" si="5"/>
        <v>0</v>
      </c>
    </row>
    <row r="91" spans="1:10" x14ac:dyDescent="0.3">
      <c r="A91">
        <f t="shared" si="4"/>
        <v>87</v>
      </c>
      <c r="B91" s="42" t="s">
        <v>665</v>
      </c>
      <c r="C91" s="42" t="s">
        <v>141</v>
      </c>
      <c r="D91" s="42" t="s">
        <v>419</v>
      </c>
      <c r="E91" s="40">
        <v>0</v>
      </c>
      <c r="F91" s="40">
        <v>0</v>
      </c>
      <c r="G91" s="15">
        <v>0</v>
      </c>
      <c r="H91" s="35">
        <v>0</v>
      </c>
      <c r="J91" s="35">
        <f t="shared" si="5"/>
        <v>0</v>
      </c>
    </row>
    <row r="92" spans="1:10" x14ac:dyDescent="0.3">
      <c r="A92">
        <f t="shared" si="4"/>
        <v>87</v>
      </c>
      <c r="B92" s="17" t="s">
        <v>600</v>
      </c>
      <c r="C92" s="17" t="s">
        <v>19</v>
      </c>
      <c r="D92" s="17" t="s">
        <v>419</v>
      </c>
      <c r="E92" s="40">
        <v>0</v>
      </c>
      <c r="F92" s="40">
        <v>0</v>
      </c>
      <c r="G92" s="35">
        <v>0</v>
      </c>
      <c r="H92" s="35">
        <v>0</v>
      </c>
      <c r="I92" s="35"/>
      <c r="J92" s="35">
        <f t="shared" si="5"/>
        <v>0</v>
      </c>
    </row>
    <row r="93" spans="1:10" x14ac:dyDescent="0.3">
      <c r="A93">
        <f t="shared" si="4"/>
        <v>87</v>
      </c>
      <c r="B93" s="42" t="s">
        <v>684</v>
      </c>
      <c r="C93" s="42" t="s">
        <v>117</v>
      </c>
      <c r="D93" s="42" t="s">
        <v>419</v>
      </c>
      <c r="E93" s="40">
        <v>0</v>
      </c>
      <c r="F93" s="40">
        <v>0</v>
      </c>
      <c r="G93" s="15">
        <v>0</v>
      </c>
      <c r="H93" s="35">
        <v>0</v>
      </c>
      <c r="J93" s="35">
        <f t="shared" si="5"/>
        <v>0</v>
      </c>
    </row>
    <row r="94" spans="1:10" x14ac:dyDescent="0.3">
      <c r="A94">
        <f t="shared" si="4"/>
        <v>87</v>
      </c>
      <c r="B94" s="17" t="s">
        <v>450</v>
      </c>
      <c r="C94" s="17" t="s">
        <v>61</v>
      </c>
      <c r="D94" s="17" t="s">
        <v>419</v>
      </c>
      <c r="E94" s="40">
        <v>0</v>
      </c>
      <c r="F94" s="40">
        <v>0</v>
      </c>
      <c r="G94" s="35">
        <v>0</v>
      </c>
      <c r="H94" s="35">
        <v>0</v>
      </c>
      <c r="I94" s="35"/>
      <c r="J94" s="35">
        <f t="shared" si="5"/>
        <v>0</v>
      </c>
    </row>
    <row r="95" spans="1:10" x14ac:dyDescent="0.3">
      <c r="A95">
        <f t="shared" si="4"/>
        <v>87</v>
      </c>
      <c r="B95" s="17" t="s">
        <v>430</v>
      </c>
      <c r="C95" s="17" t="s">
        <v>5</v>
      </c>
      <c r="D95" s="17" t="s">
        <v>419</v>
      </c>
      <c r="E95" s="40">
        <v>0</v>
      </c>
      <c r="F95" s="40">
        <v>0</v>
      </c>
      <c r="G95" s="35">
        <v>0</v>
      </c>
      <c r="H95" s="35">
        <v>0</v>
      </c>
      <c r="I95" s="35"/>
      <c r="J95" s="35">
        <f t="shared" si="5"/>
        <v>0</v>
      </c>
    </row>
    <row r="96" spans="1:10" x14ac:dyDescent="0.3">
      <c r="A96">
        <f t="shared" si="4"/>
        <v>87</v>
      </c>
      <c r="B96" s="17" t="s">
        <v>611</v>
      </c>
      <c r="C96" s="17" t="s">
        <v>3</v>
      </c>
      <c r="D96" s="17" t="s">
        <v>419</v>
      </c>
      <c r="E96" s="40">
        <v>0</v>
      </c>
      <c r="F96" s="40">
        <v>0</v>
      </c>
      <c r="G96" s="35">
        <v>0</v>
      </c>
      <c r="H96" s="35">
        <v>0</v>
      </c>
      <c r="I96" s="35"/>
      <c r="J96" s="35">
        <f t="shared" si="5"/>
        <v>0</v>
      </c>
    </row>
    <row r="97" spans="1:10" x14ac:dyDescent="0.3">
      <c r="A97">
        <f t="shared" si="4"/>
        <v>87</v>
      </c>
      <c r="B97" s="17" t="s">
        <v>426</v>
      </c>
      <c r="C97" s="17" t="s">
        <v>1</v>
      </c>
      <c r="D97" s="17" t="s">
        <v>419</v>
      </c>
      <c r="E97" s="40">
        <v>0</v>
      </c>
      <c r="F97" s="40">
        <v>0</v>
      </c>
      <c r="G97" s="35">
        <v>0</v>
      </c>
      <c r="H97" s="35">
        <v>0</v>
      </c>
      <c r="I97" s="35"/>
      <c r="J97" s="35">
        <f t="shared" si="5"/>
        <v>0</v>
      </c>
    </row>
    <row r="98" spans="1:10" x14ac:dyDescent="0.3">
      <c r="A98">
        <f t="shared" ref="A98:A112" si="6">RANK(J98,$J$2:$J$112)</f>
        <v>87</v>
      </c>
      <c r="B98" s="42" t="s">
        <v>689</v>
      </c>
      <c r="C98" s="42" t="s">
        <v>14</v>
      </c>
      <c r="D98" s="42" t="s">
        <v>419</v>
      </c>
      <c r="E98" s="40">
        <v>0</v>
      </c>
      <c r="F98" s="40">
        <v>0</v>
      </c>
      <c r="G98" s="15">
        <v>0</v>
      </c>
      <c r="H98" s="35">
        <v>0</v>
      </c>
      <c r="J98" s="35">
        <f t="shared" ref="J98:J112" si="7">LARGE(E98:I98,1)+LARGE(E98:I98,2)+LARGE(E98:I98,3)</f>
        <v>0</v>
      </c>
    </row>
    <row r="99" spans="1:10" x14ac:dyDescent="0.3">
      <c r="A99">
        <f t="shared" si="6"/>
        <v>87</v>
      </c>
      <c r="B99" s="17" t="s">
        <v>617</v>
      </c>
      <c r="C99" s="17" t="s">
        <v>19</v>
      </c>
      <c r="D99" s="17" t="s">
        <v>419</v>
      </c>
      <c r="E99" s="40">
        <v>0</v>
      </c>
      <c r="F99" s="40">
        <v>0</v>
      </c>
      <c r="G99" s="35">
        <v>0</v>
      </c>
      <c r="H99" s="35">
        <v>0</v>
      </c>
      <c r="I99" s="35"/>
      <c r="J99" s="35">
        <f t="shared" si="7"/>
        <v>0</v>
      </c>
    </row>
    <row r="100" spans="1:10" x14ac:dyDescent="0.3">
      <c r="A100">
        <f t="shared" si="6"/>
        <v>87</v>
      </c>
      <c r="B100" s="17" t="s">
        <v>618</v>
      </c>
      <c r="C100" s="17" t="s">
        <v>111</v>
      </c>
      <c r="D100" s="17" t="s">
        <v>419</v>
      </c>
      <c r="E100" s="40">
        <v>0</v>
      </c>
      <c r="F100" s="40">
        <v>0</v>
      </c>
      <c r="G100" s="35">
        <v>0</v>
      </c>
      <c r="H100" s="35">
        <v>0</v>
      </c>
      <c r="I100" s="35"/>
      <c r="J100" s="35">
        <f t="shared" si="7"/>
        <v>0</v>
      </c>
    </row>
    <row r="101" spans="1:10" x14ac:dyDescent="0.3">
      <c r="A101">
        <f t="shared" si="6"/>
        <v>87</v>
      </c>
      <c r="B101" s="17" t="s">
        <v>439</v>
      </c>
      <c r="C101" s="17" t="s">
        <v>111</v>
      </c>
      <c r="D101" s="17" t="s">
        <v>419</v>
      </c>
      <c r="E101" s="40">
        <v>0</v>
      </c>
      <c r="F101" s="40">
        <v>0</v>
      </c>
      <c r="G101" s="35">
        <v>0</v>
      </c>
      <c r="H101" s="35">
        <v>0</v>
      </c>
      <c r="I101" s="35"/>
      <c r="J101" s="35">
        <f t="shared" si="7"/>
        <v>0</v>
      </c>
    </row>
    <row r="102" spans="1:10" x14ac:dyDescent="0.3">
      <c r="A102">
        <f t="shared" si="6"/>
        <v>87</v>
      </c>
      <c r="B102" s="45" t="s">
        <v>797</v>
      </c>
      <c r="C102" s="42" t="s">
        <v>35</v>
      </c>
      <c r="D102" s="42" t="s">
        <v>768</v>
      </c>
      <c r="E102" s="40">
        <v>0</v>
      </c>
      <c r="F102" s="40">
        <v>0</v>
      </c>
      <c r="G102" s="40">
        <v>0</v>
      </c>
      <c r="H102" s="15">
        <v>0</v>
      </c>
      <c r="J102" s="35">
        <f t="shared" si="7"/>
        <v>0</v>
      </c>
    </row>
    <row r="103" spans="1:10" x14ac:dyDescent="0.3">
      <c r="A103">
        <f t="shared" si="6"/>
        <v>87</v>
      </c>
      <c r="B103" s="45" t="s">
        <v>799</v>
      </c>
      <c r="C103" s="42" t="s">
        <v>5</v>
      </c>
      <c r="D103" s="42" t="s">
        <v>770</v>
      </c>
      <c r="E103" s="40">
        <v>0</v>
      </c>
      <c r="F103" s="40">
        <v>0</v>
      </c>
      <c r="G103" s="40">
        <v>0</v>
      </c>
      <c r="H103" s="15">
        <v>0</v>
      </c>
      <c r="J103" s="35">
        <f t="shared" si="7"/>
        <v>0</v>
      </c>
    </row>
    <row r="104" spans="1:10" x14ac:dyDescent="0.3">
      <c r="A104">
        <f t="shared" si="6"/>
        <v>87</v>
      </c>
      <c r="B104" s="45" t="s">
        <v>800</v>
      </c>
      <c r="C104" s="42" t="s">
        <v>1</v>
      </c>
      <c r="D104" s="42" t="s">
        <v>771</v>
      </c>
      <c r="E104" s="40">
        <v>0</v>
      </c>
      <c r="F104" s="40">
        <v>0</v>
      </c>
      <c r="G104" s="40">
        <v>0</v>
      </c>
      <c r="H104" s="15">
        <v>0</v>
      </c>
      <c r="J104" s="35">
        <f t="shared" si="7"/>
        <v>0</v>
      </c>
    </row>
    <row r="105" spans="1:10" x14ac:dyDescent="0.3">
      <c r="A105">
        <f t="shared" si="6"/>
        <v>87</v>
      </c>
      <c r="B105" s="45" t="s">
        <v>802</v>
      </c>
      <c r="C105" s="42" t="s">
        <v>727</v>
      </c>
      <c r="D105" s="42" t="s">
        <v>773</v>
      </c>
      <c r="E105" s="40">
        <v>0</v>
      </c>
      <c r="F105" s="40">
        <v>0</v>
      </c>
      <c r="G105" s="40">
        <v>0</v>
      </c>
      <c r="H105" s="15">
        <v>0</v>
      </c>
      <c r="J105" s="35">
        <f t="shared" si="7"/>
        <v>0</v>
      </c>
    </row>
    <row r="106" spans="1:10" x14ac:dyDescent="0.3">
      <c r="A106">
        <f t="shared" si="6"/>
        <v>87</v>
      </c>
      <c r="B106" s="45" t="s">
        <v>804</v>
      </c>
      <c r="C106" s="42" t="s">
        <v>727</v>
      </c>
      <c r="D106" s="42" t="s">
        <v>775</v>
      </c>
      <c r="E106" s="40">
        <v>0</v>
      </c>
      <c r="F106" s="40">
        <v>0</v>
      </c>
      <c r="G106" s="40">
        <v>0</v>
      </c>
      <c r="H106" s="15">
        <v>0</v>
      </c>
      <c r="J106" s="35">
        <f t="shared" si="7"/>
        <v>0</v>
      </c>
    </row>
    <row r="107" spans="1:10" x14ac:dyDescent="0.3">
      <c r="A107">
        <f t="shared" si="6"/>
        <v>87</v>
      </c>
      <c r="B107" s="45" t="s">
        <v>806</v>
      </c>
      <c r="C107" s="54" t="s">
        <v>111</v>
      </c>
      <c r="D107" s="42" t="s">
        <v>777</v>
      </c>
      <c r="E107" s="40">
        <v>0</v>
      </c>
      <c r="F107" s="40">
        <v>0</v>
      </c>
      <c r="G107" s="40">
        <v>0</v>
      </c>
      <c r="H107" s="15">
        <v>0</v>
      </c>
      <c r="J107" s="35">
        <f t="shared" si="7"/>
        <v>0</v>
      </c>
    </row>
    <row r="108" spans="1:10" x14ac:dyDescent="0.3">
      <c r="A108">
        <f t="shared" si="6"/>
        <v>87</v>
      </c>
      <c r="B108" s="45" t="s">
        <v>808</v>
      </c>
      <c r="C108" s="42" t="s">
        <v>19</v>
      </c>
      <c r="D108" s="42" t="s">
        <v>779</v>
      </c>
      <c r="E108" s="40">
        <v>0</v>
      </c>
      <c r="F108" s="40">
        <v>0</v>
      </c>
      <c r="G108" s="40">
        <v>0</v>
      </c>
      <c r="H108" s="15">
        <v>0</v>
      </c>
      <c r="J108" s="35">
        <f t="shared" si="7"/>
        <v>0</v>
      </c>
    </row>
    <row r="109" spans="1:10" x14ac:dyDescent="0.3">
      <c r="A109">
        <f t="shared" si="6"/>
        <v>87</v>
      </c>
      <c r="B109" s="45" t="s">
        <v>811</v>
      </c>
      <c r="C109" s="42" t="s">
        <v>117</v>
      </c>
      <c r="D109" s="42" t="s">
        <v>782</v>
      </c>
      <c r="E109" s="40">
        <v>0</v>
      </c>
      <c r="F109" s="40">
        <v>0</v>
      </c>
      <c r="G109" s="40">
        <v>0</v>
      </c>
      <c r="H109" s="15">
        <v>0</v>
      </c>
      <c r="J109" s="35">
        <f t="shared" si="7"/>
        <v>0</v>
      </c>
    </row>
    <row r="110" spans="1:10" x14ac:dyDescent="0.3">
      <c r="A110">
        <f t="shared" si="6"/>
        <v>87</v>
      </c>
      <c r="B110" s="45" t="s">
        <v>811</v>
      </c>
      <c r="C110" s="42" t="s">
        <v>117</v>
      </c>
      <c r="D110" s="42" t="s">
        <v>817</v>
      </c>
      <c r="E110" s="40">
        <v>0</v>
      </c>
      <c r="F110" s="40">
        <v>0</v>
      </c>
      <c r="G110" s="40">
        <v>0</v>
      </c>
      <c r="H110" s="15">
        <v>0</v>
      </c>
      <c r="J110" s="35">
        <f t="shared" si="7"/>
        <v>0</v>
      </c>
    </row>
    <row r="111" spans="1:10" x14ac:dyDescent="0.3">
      <c r="A111">
        <f t="shared" si="6"/>
        <v>87</v>
      </c>
      <c r="B111" s="45" t="s">
        <v>813</v>
      </c>
      <c r="C111" s="42" t="s">
        <v>131</v>
      </c>
      <c r="D111" s="42" t="s">
        <v>819</v>
      </c>
      <c r="E111" s="40">
        <v>0</v>
      </c>
      <c r="F111" s="40">
        <v>0</v>
      </c>
      <c r="G111" s="40">
        <v>0</v>
      </c>
      <c r="H111" s="15">
        <v>0</v>
      </c>
      <c r="J111" s="35">
        <f t="shared" si="7"/>
        <v>0</v>
      </c>
    </row>
    <row r="112" spans="1:10" x14ac:dyDescent="0.3">
      <c r="A112">
        <f t="shared" si="6"/>
        <v>87</v>
      </c>
      <c r="B112" s="45" t="s">
        <v>815</v>
      </c>
      <c r="C112" s="42" t="s">
        <v>12</v>
      </c>
      <c r="D112" s="42" t="s">
        <v>821</v>
      </c>
      <c r="E112" s="40">
        <v>0</v>
      </c>
      <c r="F112" s="40">
        <v>0</v>
      </c>
      <c r="G112" s="40">
        <v>0</v>
      </c>
      <c r="H112" s="15">
        <v>0</v>
      </c>
      <c r="J112" s="35">
        <f t="shared" si="7"/>
        <v>0</v>
      </c>
    </row>
  </sheetData>
  <sortState xmlns:xlrd2="http://schemas.microsoft.com/office/spreadsheetml/2017/richdata2" ref="A2:J112">
    <sortCondition ref="A2:A112"/>
  </sortState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SUTL Disability</vt:lpstr>
      <vt:lpstr>SUTL 7</vt:lpstr>
      <vt:lpstr>SUTL 6 </vt:lpstr>
      <vt:lpstr>SUTL 5</vt:lpstr>
      <vt:lpstr>SUTL 4</vt:lpstr>
      <vt:lpstr>SUTL 3</vt:lpstr>
      <vt:lpstr>SUTL 2</vt:lpstr>
      <vt:lpstr>SUTL 1 &amp; ELITE</vt:lpstr>
      <vt:lpstr>SS1</vt:lpstr>
      <vt:lpstr>SS2</vt:lpstr>
      <vt:lpstr>SS3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Katy Joyce</dc:creator>
  <cp:lastModifiedBy>Callum</cp:lastModifiedBy>
  <dcterms:created xsi:type="dcterms:W3CDTF">2019-09-16T11:38:05Z</dcterms:created>
  <dcterms:modified xsi:type="dcterms:W3CDTF">2020-04-04T14:48:38Z</dcterms:modified>
</cp:coreProperties>
</file>